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owadhs-my.sharepoint.com/personal/jason_wemer_hhs_iowa_gov/Documents/Documents/AI/HHS AI Policy/2026-04 AI Policy update with SOPs/Bias Testing/"/>
    </mc:Choice>
  </mc:AlternateContent>
  <xr:revisionPtr revIDLastSave="11" documentId="8_{4FFEC809-AE5F-436D-9974-EEC8C47CDA87}" xr6:coauthVersionLast="47" xr6:coauthVersionMax="47" xr10:uidLastSave="{05ADA4B0-6EB6-4027-B6C9-AE8069E64A2D}"/>
  <bookViews>
    <workbookView xWindow="24" yWindow="24" windowWidth="23016" windowHeight="13656" xr2:uid="{00000000-000D-0000-FFFF-FFFF00000000}"/>
  </bookViews>
  <sheets>
    <sheet name="Bias Test" sheetId="1" r:id="rId1"/>
    <sheet name="Worked Example" sheetId="2" r:id="rId2"/>
    <sheet name="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6" i="1" s="1"/>
  <c r="C21" i="1"/>
  <c r="B21" i="1"/>
  <c r="D20" i="1"/>
  <c r="E20" i="1" s="1"/>
  <c r="A20" i="1"/>
  <c r="D18" i="1"/>
  <c r="A18" i="1"/>
  <c r="A22" i="1" l="1"/>
  <c r="E18" i="1"/>
  <c r="B38" i="1"/>
  <c r="C52" i="1"/>
  <c r="D21" i="1"/>
  <c r="E37" i="1" l="1"/>
  <c r="D37" i="1"/>
  <c r="C37" i="1"/>
  <c r="B37" i="1"/>
  <c r="B39" i="1"/>
  <c r="D39" i="1" s="1"/>
  <c r="C38" i="1" s="1"/>
  <c r="D38" i="1" s="1"/>
  <c r="E38" i="1" s="1"/>
  <c r="B26" i="1"/>
  <c r="B25" i="1"/>
  <c r="B27" i="1" l="1"/>
  <c r="B28" i="1" s="1"/>
  <c r="B55" i="1" s="1"/>
  <c r="C36" i="1"/>
  <c r="D36" i="1" s="1"/>
  <c r="B36" i="1"/>
  <c r="E36" i="1" l="1"/>
  <c r="B42" i="1"/>
  <c r="B57" i="1" s="1"/>
  <c r="B58" i="1" s="1"/>
  <c r="A60" i="1" s="1"/>
  <c r="A64" i="1" s="1"/>
</calcChain>
</file>

<file path=xl/sharedStrings.xml><?xml version="1.0" encoding="utf-8"?>
<sst xmlns="http://schemas.openxmlformats.org/spreadsheetml/2006/main" count="148" uniqueCount="139">
  <si>
    <t>AI Bias Testing Tool</t>
  </si>
  <si>
    <t>Disparate impact analysis for AI systems</t>
  </si>
  <si>
    <t>Based on NIST AI RMF 1.0, EEOC Uniform Guidelines (29 CFR 1607.4), and NIST SP 1270</t>
  </si>
  <si>
    <t>Section 1: System Information</t>
  </si>
  <si>
    <t>Field</t>
  </si>
  <si>
    <t>Value</t>
  </si>
  <si>
    <t>Organization</t>
  </si>
  <si>
    <t>AI System Name</t>
  </si>
  <si>
    <t>System ID (Register ID)</t>
  </si>
  <si>
    <t>AI System Owner</t>
  </si>
  <si>
    <t>Test Date</t>
  </si>
  <si>
    <t>Test Type</t>
  </si>
  <si>
    <t>Pre-Deployment</t>
  </si>
  <si>
    <t>Section 2: Group Data (Contingency Table)</t>
  </si>
  <si>
    <t>Positive Outcome</t>
  </si>
  <si>
    <t>Negative Outcome</t>
  </si>
  <si>
    <t>Total</t>
  </si>
  <si>
    <t>Rate</t>
  </si>
  <si>
    <t>(approved, selected, etc.)</t>
  </si>
  <si>
    <t>(denied, not selected, etc.)</t>
  </si>
  <si>
    <t>Group A name:</t>
  </si>
  <si>
    <t>Group A</t>
  </si>
  <si>
    <t>Group B name:</t>
  </si>
  <si>
    <t>Group B</t>
  </si>
  <si>
    <t>Total observations:</t>
  </si>
  <si>
    <t>Section 3: Disparate Impact Metrics</t>
  </si>
  <si>
    <t>Lower selection rate:</t>
  </si>
  <si>
    <t>Higher selection rate:</t>
  </si>
  <si>
    <t>Disparate Impact Ratio:</t>
  </si>
  <si>
    <t>Quantitative classification:</t>
  </si>
  <si>
    <t>Threshold reference (four-fifths rule, 29 CFR 1607.4):</t>
  </si>
  <si>
    <t>DI Ratio range</t>
  </si>
  <si>
    <t>≥ 0.90</t>
  </si>
  <si>
    <t>0.80 - 0.89</t>
  </si>
  <si>
    <t>0.65 - 0.79</t>
  </si>
  <si>
    <t>&lt; 0.65</t>
  </si>
  <si>
    <t>Classification</t>
  </si>
  <si>
    <t>None</t>
  </si>
  <si>
    <t>Low</t>
  </si>
  <si>
    <t>Moderate</t>
  </si>
  <si>
    <t>Critical</t>
  </si>
  <si>
    <t>Section 4: Statistical Significance Tests</t>
  </si>
  <si>
    <t>Test</t>
  </si>
  <si>
    <t>Validity</t>
  </si>
  <si>
    <t>Statistic</t>
  </si>
  <si>
    <t>p-value</t>
  </si>
  <si>
    <t>Interpretation</t>
  </si>
  <si>
    <t>Chi-Square Test</t>
  </si>
  <si>
    <t xml:space="preserve">  Expected counts:</t>
  </si>
  <si>
    <t>Two-Proportion Z-Test</t>
  </si>
  <si>
    <t xml:space="preserve">  Pooled proportion (p-hat):</t>
  </si>
  <si>
    <t>Standard error:</t>
  </si>
  <si>
    <t>Fisher's Exact Test</t>
  </si>
  <si>
    <t>Not available in Excel</t>
  </si>
  <si>
    <t>See note below. Use the HTML tool, R, Python, or an online calculator for Fisher's Exact when needed.</t>
  </si>
  <si>
    <t>Best available p-value:</t>
  </si>
  <si>
    <t>Section 5: Context Assessment</t>
  </si>
  <si>
    <t>For each factor, select the score (0, 1, or 2). The highest score determines the adjustment.</t>
  </si>
  <si>
    <t>Factor</t>
  </si>
  <si>
    <t>Score</t>
  </si>
  <si>
    <t>Guidance</t>
  </si>
  <si>
    <t>Decision type</t>
  </si>
  <si>
    <t>Select 0 = Informational, 1 = Influences human decision, 2 = Directly determines outcomes</t>
  </si>
  <si>
    <t>Affected population</t>
  </si>
  <si>
    <t>Select 0 = Internal staff only, 1 = General public, 2 = Vulnerable populations</t>
  </si>
  <si>
    <t>Scale of impact</t>
  </si>
  <si>
    <t>Select 0 = &lt;100 decisions/year, 1 = 100-10,000/year, 2 = &gt;10,000/year</t>
  </si>
  <si>
    <t>Reversibility</t>
  </si>
  <si>
    <t>Select 0 = Easily reversed, 1 = Reversible with effort, 2 = Difficult to reverse</t>
  </si>
  <si>
    <t>Highest context factor:</t>
  </si>
  <si>
    <t>Section 6: Final Classification</t>
  </si>
  <si>
    <t>Quantitative index:</t>
  </si>
  <si>
    <t>Context adjustment:</t>
  </si>
  <si>
    <t>Significance adjustment:</t>
  </si>
  <si>
    <t>Final index (capped 0-3):</t>
  </si>
  <si>
    <t>Methodology and Limitations</t>
  </si>
  <si>
    <t>Methodology</t>
  </si>
  <si>
    <t>Disparate Impact Ratio per Uniform Guidelines on Employee Selection Procedures (29 CFR 1607.4). Statistical significance via Chi-Square Test of Independence and/or Two-Proportion Z-Test. Context assessment per NIST AI RMF 1.0 Measure function.</t>
  </si>
  <si>
    <t>Excel does not have a built-in Fisher's Exact Test function. For small samples (any group &lt;30, or any expected cell count &lt;5), the Chi-Square and Z-Test results in this workbook may not be reliable. In those cases, use the companion HTML tool (bias-testing-tool.html), or run Fisher's Exact in R (fisher.test) or Python (scipy.stats.fisher_exact).</t>
  </si>
  <si>
    <t>References</t>
  </si>
  <si>
    <t>NIST AI RMF 1.0, NIST SP 1270 (Towards a Standard for Identifying and Managing Bias in AI), EEOC Technical Assistance on AI and Title VII (May 2023).</t>
  </si>
  <si>
    <t>Open source</t>
  </si>
  <si>
    <t>Free for use by anyone under the MIT License. Questions, feedback, or contributions: github.com/jasonanwe/bias-testing-app</t>
  </si>
  <si>
    <t>Color guide: Yellow cells = inputs (you fill in). Gray cells = calculated values (do not edit).</t>
  </si>
  <si>
    <t>Input</t>
  </si>
  <si>
    <t>Calculation</t>
  </si>
  <si>
    <t>Worked Example: Medicaid Application Completeness Review</t>
  </si>
  <si>
    <t>Use this example to verify the Bias Test sheet is producing expected results.</t>
  </si>
  <si>
    <t>Scenario</t>
  </si>
  <si>
    <t>An AI system reviews Medicaid applications for completeness. We are testing whether the approval rate differs between Hispanic and non-Hispanic applicants.</t>
  </si>
  <si>
    <t>Inputs to enter on Bias Test sheet:</t>
  </si>
  <si>
    <t>Group A name</t>
  </si>
  <si>
    <t>Hispanic</t>
  </si>
  <si>
    <t>Group A Positive Outcome</t>
  </si>
  <si>
    <t>Group A Negative Outcome</t>
  </si>
  <si>
    <t>Group B name</t>
  </si>
  <si>
    <t>Non-Hispanic</t>
  </si>
  <si>
    <t>Group B Positive Outcome</t>
  </si>
  <si>
    <t>Group B Negative Outcome</t>
  </si>
  <si>
    <t>Expected results:</t>
  </si>
  <si>
    <t>Output</t>
  </si>
  <si>
    <t>Expected Value</t>
  </si>
  <si>
    <t>Hispanic selection rate</t>
  </si>
  <si>
    <t>38.0%</t>
  </si>
  <si>
    <t>Non-Hispanic selection rate</t>
  </si>
  <si>
    <t>56.0%</t>
  </si>
  <si>
    <t>Disparate Impact Ratio</t>
  </si>
  <si>
    <t>0.679</t>
  </si>
  <si>
    <t>Quantitative classification</t>
  </si>
  <si>
    <t>Chi-Square statistic</t>
  </si>
  <si>
    <t>6.502</t>
  </si>
  <si>
    <t>Chi-Square p-value</t>
  </si>
  <si>
    <t>0.0108</t>
  </si>
  <si>
    <t>Z-Test statistic</t>
  </si>
  <si>
    <t>-2.550</t>
  </si>
  <si>
    <t>Z-Test p-value</t>
  </si>
  <si>
    <t>Best p-value</t>
  </si>
  <si>
    <t>Significance</t>
  </si>
  <si>
    <t>Significant</t>
  </si>
  <si>
    <t>Final classification (with no context adjustments)</t>
  </si>
  <si>
    <t>Final classification (with all context = 2)</t>
  </si>
  <si>
    <t>How to Use This Workbook</t>
  </si>
  <si>
    <t>Overview</t>
  </si>
  <si>
    <t>This workbook helps you test an AI system for disparate impact bias using the four-fifths rule and statistical significance testing. Fill in the yellow cells on the Bias Test sheet; gray cells calculate automatically.</t>
  </si>
  <si>
    <t>Step 1: System Information</t>
  </si>
  <si>
    <t>Fill in Organization, AI System Name, System ID, AI System Owner, Test Date, and Test Type. Test Type is a dropdown with Pre-Deployment, Recurring, or Incident-Triggered.</t>
  </si>
  <si>
    <t>Step 2: Group Data</t>
  </si>
  <si>
    <t>Enter the two comparison groups (e.g., Hispanic vs. Non-Hispanic) and the counts of positive and negative outcomes for each group. The workbook calculates totals and selection rates automatically.</t>
  </si>
  <si>
    <t>Step 3: Review Metrics</t>
  </si>
  <si>
    <t>The Disparate Impact Ratio is calculated as the lower selection rate divided by the higher selection rate. Classification thresholds: ≥ 0.90 = None, 0.80-0.89 = Low, 0.65-0.79 = Moderate, &lt; 0.65 = Critical.</t>
  </si>
  <si>
    <t>Step 4: Statistical Tests</t>
  </si>
  <si>
    <t>Chi-Square Test runs automatically if all expected cell counts are 5 or greater. Two-Proportion Z-Test runs automatically if both groups have 30 or more observations. Fisher's Exact Test is not available in Excel; for small samples, use the HTML version of the tool or run it in R or Python.</t>
  </si>
  <si>
    <t>Step 5: Context Assessment</t>
  </si>
  <si>
    <t>Score each of the four context factors (Decision type, Affected population, Scale of impact, Reversibility) from 0 to 2. The highest score determines the context adjustment.</t>
  </si>
  <si>
    <t>Step 6: Final Classification</t>
  </si>
  <si>
    <t>Calculated from the quantitative finding, context adjustment, and statistical significance. The recommended response appears below the classification.</t>
  </si>
  <si>
    <t>Printing</t>
  </si>
  <si>
    <t>To print a report, select the Bias Test sheet, go to File &gt; Print, set scaling to 'Fit to 1 page', and print. The Worked Example sheet can be used as a reference.</t>
  </si>
  <si>
    <t>Open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</si>
</sst>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000"/>
    <numFmt numFmtId="167" formatCode="\+0;\-0;0"/>
  </numFmts>
  <fonts count="14" x14ac:knownFonts="1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i/>
      <sz val="11"/>
      <color rgb="FF333333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80"/>
      <name val="Arial"/>
    </font>
    <font>
      <sz val="10"/>
      <color rgb="FF000000"/>
      <name val="Arial"/>
    </font>
    <font>
      <b/>
      <sz val="32"/>
      <color rgb="FF000000"/>
      <name val="Arial"/>
    </font>
    <font>
      <sz val="11"/>
      <color rgb="FF000000"/>
      <name val="Arial"/>
    </font>
    <font>
      <b/>
      <sz val="10"/>
      <color rgb="FF1F3864"/>
      <name val="Arial"/>
    </font>
    <font>
      <b/>
      <sz val="18"/>
      <color rgb="FF1F3864"/>
      <name val="Arial"/>
    </font>
    <font>
      <b/>
      <sz val="16"/>
      <color rgb="FFFFFFFF"/>
      <name val="Arial"/>
    </font>
    <font>
      <b/>
      <sz val="12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8F0FE"/>
      </patternFill>
    </fill>
    <fill>
      <patternFill patternType="solid">
        <fgColor rgb="FFFFF9E6"/>
      </patternFill>
    </fill>
    <fill>
      <patternFill patternType="solid">
        <fgColor rgb="FFF0F0F0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3E0"/>
      </patternFill>
    </fill>
    <fill>
      <patternFill patternType="solid">
        <fgColor rgb="FFFFEBEE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 applyAlignment="1">
      <alignment horizontal="center" vertical="center" wrapText="1"/>
    </xf>
    <xf numFmtId="0" fontId="5" fillId="4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" fontId="7" fillId="6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166" fontId="7" fillId="6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166" fontId="5" fillId="6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3" fillId="0" borderId="0" xfId="0" applyFont="1"/>
    <xf numFmtId="0" fontId="7" fillId="0" borderId="1" xfId="0" applyFont="1" applyBorder="1"/>
    <xf numFmtId="0" fontId="6" fillId="5" borderId="1" xfId="0" applyFont="1" applyFill="1" applyBorder="1"/>
    <xf numFmtId="0" fontId="6" fillId="5" borderId="1" xfId="0" applyFont="1" applyFill="1" applyBorder="1" applyAlignment="1" applyProtection="1">
      <alignment horizontal="left" vertical="center" wrapText="1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164" fontId="7" fillId="6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7" fillId="0" borderId="0" xfId="0" applyFont="1" applyAlignment="1">
      <alignment horizontal="left" vertical="top" wrapText="1"/>
    </xf>
    <xf numFmtId="165" fontId="5" fillId="6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4" borderId="1" xfId="0" applyFont="1" applyFill="1" applyBorder="1"/>
    <xf numFmtId="0" fontId="8" fillId="0" borderId="0" xfId="0" applyFont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6" fillId="5" borderId="1" xfId="0" applyNumberFormat="1" applyFont="1" applyFill="1" applyBorder="1"/>
    <xf numFmtId="1" fontId="6" fillId="5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8">
    <dxf>
      <fill>
        <patternFill patternType="solid">
          <fgColor rgb="FFFFEBEE"/>
        </patternFill>
      </fill>
    </dxf>
    <dxf>
      <fill>
        <patternFill patternType="solid">
          <fgColor rgb="FFFFF3E0"/>
        </patternFill>
      </fill>
    </dxf>
    <dxf>
      <fill>
        <patternFill patternType="solid">
          <fgColor rgb="FFFFF8E1"/>
        </patternFill>
      </fill>
    </dxf>
    <dxf>
      <fill>
        <patternFill patternType="solid">
          <fgColor rgb="FFE8F5E9"/>
        </patternFill>
      </fill>
    </dxf>
    <dxf>
      <fill>
        <patternFill patternType="solid">
          <fgColor rgb="FFFFEBEE"/>
        </patternFill>
      </fill>
    </dxf>
    <dxf>
      <fill>
        <patternFill patternType="solid">
          <fgColor rgb="FFFFF3E0"/>
        </patternFill>
      </fill>
    </dxf>
    <dxf>
      <fill>
        <patternFill patternType="solid">
          <fgColor rgb="FFFFF8E1"/>
        </patternFill>
      </fill>
    </dxf>
    <dxf>
      <fill>
        <patternFill patternType="solid">
          <fgColor rgb="FFE8F5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04" workbookViewId="0">
      <selection activeCell="G18" sqref="G18"/>
    </sheetView>
  </sheetViews>
  <sheetFormatPr defaultRowHeight="14.4" x14ac:dyDescent="0.3"/>
  <cols>
    <col min="1" max="1" width="26" customWidth="1"/>
    <col min="2" max="5" width="18" customWidth="1"/>
    <col min="6" max="6" width="4" customWidth="1"/>
    <col min="7" max="7" width="30" customWidth="1"/>
  </cols>
  <sheetData>
    <row r="1" spans="1:7" ht="36" customHeight="1" x14ac:dyDescent="0.3">
      <c r="A1" s="46" t="s">
        <v>0</v>
      </c>
      <c r="B1" s="41"/>
      <c r="C1" s="41"/>
      <c r="D1" s="41"/>
      <c r="E1" s="41"/>
      <c r="F1" s="41"/>
      <c r="G1" s="41"/>
    </row>
    <row r="2" spans="1:7" ht="18" customHeight="1" x14ac:dyDescent="0.3">
      <c r="A2" s="51" t="s">
        <v>1</v>
      </c>
      <c r="B2" s="41"/>
      <c r="C2" s="41"/>
      <c r="D2" s="41"/>
      <c r="E2" s="41"/>
      <c r="F2" s="41"/>
      <c r="G2" s="41"/>
    </row>
    <row r="3" spans="1:7" x14ac:dyDescent="0.3">
      <c r="A3" s="50" t="s">
        <v>2</v>
      </c>
      <c r="B3" s="41"/>
      <c r="C3" s="41"/>
      <c r="D3" s="41"/>
      <c r="E3" s="41"/>
      <c r="F3" s="41"/>
      <c r="G3" s="41"/>
    </row>
    <row r="5" spans="1:7" ht="21.9" customHeight="1" x14ac:dyDescent="0.3">
      <c r="A5" s="44" t="s">
        <v>3</v>
      </c>
      <c r="B5" s="41"/>
      <c r="C5" s="41"/>
      <c r="D5" s="41"/>
      <c r="E5" s="41"/>
      <c r="F5" s="41"/>
      <c r="G5" s="41"/>
    </row>
    <row r="6" spans="1:7" x14ac:dyDescent="0.3">
      <c r="A6" s="2" t="s">
        <v>4</v>
      </c>
      <c r="B6" s="52" t="s">
        <v>5</v>
      </c>
      <c r="C6" s="37"/>
      <c r="D6" s="37"/>
      <c r="E6" s="38"/>
    </row>
    <row r="7" spans="1:7" x14ac:dyDescent="0.3">
      <c r="A7" s="3" t="s">
        <v>6</v>
      </c>
      <c r="B7" s="33"/>
      <c r="C7" s="34"/>
      <c r="D7" s="34"/>
      <c r="E7" s="35"/>
    </row>
    <row r="8" spans="1:7" x14ac:dyDescent="0.3">
      <c r="A8" s="3" t="s">
        <v>7</v>
      </c>
      <c r="B8" s="33"/>
      <c r="C8" s="34"/>
      <c r="D8" s="34"/>
      <c r="E8" s="35"/>
    </row>
    <row r="9" spans="1:7" x14ac:dyDescent="0.3">
      <c r="A9" s="3" t="s">
        <v>8</v>
      </c>
      <c r="B9" s="33"/>
      <c r="C9" s="34"/>
      <c r="D9" s="34"/>
      <c r="E9" s="35"/>
    </row>
    <row r="10" spans="1:7" x14ac:dyDescent="0.3">
      <c r="A10" s="3" t="s">
        <v>9</v>
      </c>
      <c r="B10" s="33"/>
      <c r="C10" s="34"/>
      <c r="D10" s="34"/>
      <c r="E10" s="35"/>
    </row>
    <row r="11" spans="1:7" x14ac:dyDescent="0.3">
      <c r="A11" s="3" t="s">
        <v>10</v>
      </c>
      <c r="B11" s="33"/>
      <c r="C11" s="34"/>
      <c r="D11" s="34"/>
      <c r="E11" s="35"/>
    </row>
    <row r="12" spans="1:7" x14ac:dyDescent="0.3">
      <c r="A12" s="3" t="s">
        <v>11</v>
      </c>
      <c r="B12" s="33" t="s">
        <v>12</v>
      </c>
      <c r="C12" s="34"/>
      <c r="D12" s="34"/>
      <c r="E12" s="35"/>
    </row>
    <row r="14" spans="1:7" ht="21.9" customHeight="1" x14ac:dyDescent="0.3">
      <c r="A14" s="44" t="s">
        <v>13</v>
      </c>
      <c r="B14" s="41"/>
      <c r="C14" s="41"/>
      <c r="D14" s="41"/>
      <c r="E14" s="41"/>
      <c r="F14" s="41"/>
      <c r="G14" s="41"/>
    </row>
    <row r="15" spans="1:7" x14ac:dyDescent="0.3">
      <c r="B15" s="4" t="s">
        <v>14</v>
      </c>
      <c r="C15" s="4" t="s">
        <v>15</v>
      </c>
      <c r="D15" s="4" t="s">
        <v>16</v>
      </c>
      <c r="E15" s="4" t="s">
        <v>17</v>
      </c>
    </row>
    <row r="16" spans="1:7" ht="22.8" x14ac:dyDescent="0.3">
      <c r="B16" s="1" t="s">
        <v>18</v>
      </c>
      <c r="C16" s="1" t="s">
        <v>19</v>
      </c>
    </row>
    <row r="17" spans="1:7" ht="18" customHeight="1" x14ac:dyDescent="0.3">
      <c r="A17" s="3" t="s">
        <v>20</v>
      </c>
      <c r="B17" s="33" t="s">
        <v>21</v>
      </c>
      <c r="C17" s="34"/>
      <c r="D17" s="34"/>
      <c r="E17" s="35"/>
    </row>
    <row r="18" spans="1:7" x14ac:dyDescent="0.3">
      <c r="A18" s="5" t="str">
        <f>B17</f>
        <v>Group A</v>
      </c>
      <c r="B18" s="59">
        <v>0</v>
      </c>
      <c r="C18" s="59">
        <v>0</v>
      </c>
      <c r="D18" s="6">
        <f>B18+C18</f>
        <v>0</v>
      </c>
      <c r="E18" s="7">
        <f>IF(D18&gt;0,B18/D18,0)</f>
        <v>0</v>
      </c>
    </row>
    <row r="19" spans="1:7" ht="18" customHeight="1" x14ac:dyDescent="0.3">
      <c r="A19" s="3" t="s">
        <v>22</v>
      </c>
      <c r="B19" s="33" t="s">
        <v>23</v>
      </c>
      <c r="C19" s="34"/>
      <c r="D19" s="34"/>
      <c r="E19" s="35"/>
    </row>
    <row r="20" spans="1:7" x14ac:dyDescent="0.3">
      <c r="A20" s="5" t="str">
        <f>B19</f>
        <v>Group B</v>
      </c>
      <c r="B20" s="59">
        <v>0</v>
      </c>
      <c r="C20" s="59">
        <v>0</v>
      </c>
      <c r="D20" s="6">
        <f>B20+C20</f>
        <v>0</v>
      </c>
      <c r="E20" s="7">
        <f>IF(D20&gt;0,B20/D20,0)</f>
        <v>0</v>
      </c>
    </row>
    <row r="21" spans="1:7" x14ac:dyDescent="0.3">
      <c r="A21" s="5" t="s">
        <v>24</v>
      </c>
      <c r="B21" s="8">
        <f>B18+B20</f>
        <v>0</v>
      </c>
      <c r="C21" s="8">
        <f>C18+C20</f>
        <v>0</v>
      </c>
      <c r="D21" s="8">
        <f>D18+D20</f>
        <v>0</v>
      </c>
      <c r="E21" s="9"/>
    </row>
    <row r="22" spans="1:7" x14ac:dyDescent="0.3">
      <c r="A22" s="40" t="str">
        <f>IF(OR(D18&lt;30,D20&lt;30),"Note: One or both groups have fewer than 30 observations. Fisher's Exact Test is recommended. The Z-test will be marked Not Applicable.","")</f>
        <v>Note: One or both groups have fewer than 30 observations. Fisher's Exact Test is recommended. The Z-test will be marked Not Applicable.</v>
      </c>
      <c r="B22" s="41"/>
      <c r="C22" s="41"/>
      <c r="D22" s="41"/>
      <c r="E22" s="41"/>
      <c r="F22" s="41"/>
      <c r="G22" s="41"/>
    </row>
    <row r="24" spans="1:7" ht="21.9" customHeight="1" x14ac:dyDescent="0.3">
      <c r="A24" s="44" t="s">
        <v>25</v>
      </c>
      <c r="B24" s="41"/>
      <c r="C24" s="41"/>
      <c r="D24" s="41"/>
      <c r="E24" s="41"/>
      <c r="F24" s="41"/>
      <c r="G24" s="41"/>
    </row>
    <row r="25" spans="1:7" x14ac:dyDescent="0.3">
      <c r="A25" s="5" t="s">
        <v>26</v>
      </c>
      <c r="B25" s="39">
        <f>MIN(E18,E20)</f>
        <v>0</v>
      </c>
      <c r="C25" s="38"/>
    </row>
    <row r="26" spans="1:7" x14ac:dyDescent="0.3">
      <c r="A26" s="5" t="s">
        <v>27</v>
      </c>
      <c r="B26" s="39">
        <f>MAX(E18,E20)</f>
        <v>0</v>
      </c>
      <c r="C26" s="38"/>
    </row>
    <row r="27" spans="1:7" x14ac:dyDescent="0.3">
      <c r="A27" s="5" t="s">
        <v>28</v>
      </c>
      <c r="B27" s="43">
        <f>IF(B26&gt;0,B25/B26,0)</f>
        <v>0</v>
      </c>
      <c r="C27" s="38"/>
    </row>
    <row r="28" spans="1:7" x14ac:dyDescent="0.3">
      <c r="A28" s="5" t="s">
        <v>29</v>
      </c>
      <c r="B28" s="49" t="str">
        <f>IF(B27&gt;=0.9,"None",IF(B27&gt;=0.8,"Low",IF(B27&gt;=0.65,"Moderate","Critical")))</f>
        <v>Critical</v>
      </c>
      <c r="C28" s="38"/>
    </row>
    <row r="30" spans="1:7" x14ac:dyDescent="0.3">
      <c r="A30" s="45" t="s">
        <v>30</v>
      </c>
      <c r="B30" s="41"/>
      <c r="C30" s="41"/>
      <c r="D30" s="41"/>
      <c r="E30" s="41"/>
      <c r="F30" s="41"/>
      <c r="G30" s="41"/>
    </row>
    <row r="31" spans="1:7" x14ac:dyDescent="0.3">
      <c r="A31" s="4" t="s">
        <v>31</v>
      </c>
      <c r="B31" s="4" t="s">
        <v>32</v>
      </c>
      <c r="C31" s="4" t="s">
        <v>33</v>
      </c>
      <c r="D31" s="4" t="s">
        <v>34</v>
      </c>
      <c r="E31" s="4" t="s">
        <v>35</v>
      </c>
    </row>
    <row r="32" spans="1:7" x14ac:dyDescent="0.3">
      <c r="A32" s="12" t="s">
        <v>36</v>
      </c>
      <c r="B32" s="13" t="s">
        <v>37</v>
      </c>
      <c r="C32" s="14" t="s">
        <v>38</v>
      </c>
      <c r="D32" s="15" t="s">
        <v>39</v>
      </c>
      <c r="E32" s="16" t="s">
        <v>40</v>
      </c>
    </row>
    <row r="34" spans="1:7" ht="21.9" customHeight="1" x14ac:dyDescent="0.3">
      <c r="A34" s="44" t="s">
        <v>41</v>
      </c>
      <c r="B34" s="41"/>
      <c r="C34" s="41"/>
      <c r="D34" s="41"/>
      <c r="E34" s="41"/>
      <c r="F34" s="41"/>
      <c r="G34" s="41"/>
    </row>
    <row r="35" spans="1:7" x14ac:dyDescent="0.3">
      <c r="A35" s="4" t="s">
        <v>42</v>
      </c>
      <c r="B35" s="4" t="s">
        <v>43</v>
      </c>
      <c r="C35" s="4" t="s">
        <v>44</v>
      </c>
      <c r="D35" s="4" t="s">
        <v>45</v>
      </c>
      <c r="E35" s="4" t="s">
        <v>46</v>
      </c>
    </row>
    <row r="36" spans="1:7" ht="29.25" customHeight="1" x14ac:dyDescent="0.3">
      <c r="A36" s="3" t="s">
        <v>47</v>
      </c>
      <c r="B36" s="17" t="str">
        <f>IF(AND(B37&gt;=5,C37&gt;=5,D37&gt;=5,E37&gt;=5),"Valid","Invalid (expected count &lt;5)")</f>
        <v>Invalid (expected count &lt;5)</v>
      </c>
      <c r="C36" s="18" t="str">
        <f>IF(AND(B37&gt;=5,C37&gt;=5,D37&gt;=5,E37&gt;=5),IF(B37&gt;0,((B18-B37)^2)/B37,0)+IF(C37&gt;0,((C18-C37)^2)/C37,0)+IF(D37&gt;0,((B20-D37)^2)/D37,0)+IF(E37&gt;0,((C20-E37)^2)/E37,0),"")</f>
        <v/>
      </c>
      <c r="D36" s="19" t="str">
        <f>IF(AND(B37&gt;=5,C37&gt;=5,D37&gt;=5,E37&gt;=5,ISNUMBER(C36)),CHIDIST(C36,1),"")</f>
        <v/>
      </c>
      <c r="E36" s="17" t="str">
        <f>IF(NOT(ISNUMBER(D36)),"N/A",IF(D36&lt;=0.01,"Highly significant",IF(D36&lt;=0.05,"Significant",IF(D36&lt;=0.1,"Marginal","Not significant"))))</f>
        <v>N/A</v>
      </c>
    </row>
    <row r="37" spans="1:7" x14ac:dyDescent="0.3">
      <c r="A37" s="10" t="s">
        <v>48</v>
      </c>
      <c r="B37" s="20">
        <f>IF(D21&gt;0,(D18*B21)/D21,0)</f>
        <v>0</v>
      </c>
      <c r="C37" s="20">
        <f>IF(D21&gt;0,(D18*C21)/D21,0)</f>
        <v>0</v>
      </c>
      <c r="D37" s="20">
        <f>IF(D21&gt;0,(D20*B21)/D21,0)</f>
        <v>0</v>
      </c>
      <c r="E37" s="20">
        <f>IF(D21&gt;0,(D20*C21)/D21,0)</f>
        <v>0</v>
      </c>
    </row>
    <row r="38" spans="1:7" x14ac:dyDescent="0.3">
      <c r="A38" s="3" t="s">
        <v>49</v>
      </c>
      <c r="B38" s="17" t="str">
        <f>IF(AND(D18&gt;=30,D20&gt;=30),"Valid","Invalid (n&lt;30)")</f>
        <v>Invalid (n&lt;30)</v>
      </c>
      <c r="C38" s="18" t="str">
        <f>IF(AND(D18&gt;=30,D20&gt;=30,D39&gt;0),(E18-E20)/D39,"")</f>
        <v/>
      </c>
      <c r="D38" s="19" t="str">
        <f>IF(AND(D18&gt;=30,D20&gt;=30,ISNUMBER(C38)),2*(1-NORMSDIST(ABS(C38))),"")</f>
        <v/>
      </c>
      <c r="E38" s="17" t="str">
        <f>IF(NOT(ISNUMBER(D38)),"N/A",IF(D38&lt;=0.01,"Highly significant",IF(D38&lt;=0.05,"Significant",IF(D38&lt;=0.1,"Marginal","Not significant"))))</f>
        <v>N/A</v>
      </c>
    </row>
    <row r="39" spans="1:7" x14ac:dyDescent="0.3">
      <c r="A39" s="11" t="s">
        <v>50</v>
      </c>
      <c r="B39" s="21">
        <f>IF(D21&gt;0,B21/D21,0)</f>
        <v>0</v>
      </c>
      <c r="C39" s="22" t="s">
        <v>51</v>
      </c>
      <c r="D39" s="21">
        <f>IF(AND(D18&gt;0,D20&gt;0,B39&gt;0,B39&lt;1),SQRT(B39*(1-B39)*((1/D18)+(1/D20))),0)</f>
        <v>0</v>
      </c>
    </row>
    <row r="40" spans="1:7" ht="26.4" x14ac:dyDescent="0.3">
      <c r="A40" s="3" t="s">
        <v>52</v>
      </c>
      <c r="B40" s="17" t="s">
        <v>53</v>
      </c>
      <c r="C40" s="36" t="s">
        <v>54</v>
      </c>
      <c r="D40" s="41"/>
      <c r="E40" s="41"/>
    </row>
    <row r="42" spans="1:7" x14ac:dyDescent="0.3">
      <c r="A42" s="5" t="s">
        <v>55</v>
      </c>
      <c r="B42" s="23">
        <f>IF(AND(ISNUMBER(D36),ISNUMBER(D38)),MIN(D36,D38),IF(ISNUMBER(D36),D36,IF(ISNUMBER(D38),D38,1)))</f>
        <v>1</v>
      </c>
    </row>
    <row r="44" spans="1:7" ht="21.9" customHeight="1" x14ac:dyDescent="0.3">
      <c r="A44" s="44" t="s">
        <v>56</v>
      </c>
      <c r="B44" s="41"/>
      <c r="C44" s="41"/>
      <c r="D44" s="41"/>
      <c r="E44" s="41"/>
      <c r="F44" s="41"/>
      <c r="G44" s="41"/>
    </row>
    <row r="45" spans="1:7" x14ac:dyDescent="0.3">
      <c r="A45" s="45" t="s">
        <v>57</v>
      </c>
      <c r="B45" s="41"/>
      <c r="C45" s="41"/>
      <c r="D45" s="41"/>
      <c r="E45" s="41"/>
      <c r="F45" s="41"/>
      <c r="G45" s="41"/>
    </row>
    <row r="46" spans="1:7" x14ac:dyDescent="0.3">
      <c r="A46" s="4" t="s">
        <v>58</v>
      </c>
      <c r="B46" s="4" t="s">
        <v>59</v>
      </c>
      <c r="C46" s="47" t="s">
        <v>60</v>
      </c>
      <c r="D46" s="37"/>
      <c r="E46" s="37"/>
      <c r="F46" s="37"/>
      <c r="G46" s="38"/>
    </row>
    <row r="47" spans="1:7" x14ac:dyDescent="0.3">
      <c r="A47" s="3" t="s">
        <v>61</v>
      </c>
      <c r="B47" s="24">
        <v>0</v>
      </c>
      <c r="C47" s="36" t="s">
        <v>62</v>
      </c>
      <c r="D47" s="37"/>
      <c r="E47" s="37"/>
      <c r="F47" s="37"/>
      <c r="G47" s="38"/>
    </row>
    <row r="48" spans="1:7" x14ac:dyDescent="0.3">
      <c r="A48" s="3" t="s">
        <v>63</v>
      </c>
      <c r="B48" s="24">
        <v>0</v>
      </c>
      <c r="C48" s="36" t="s">
        <v>64</v>
      </c>
      <c r="D48" s="37"/>
      <c r="E48" s="37"/>
      <c r="F48" s="37"/>
      <c r="G48" s="38"/>
    </row>
    <row r="49" spans="1:7" x14ac:dyDescent="0.3">
      <c r="A49" s="3" t="s">
        <v>65</v>
      </c>
      <c r="B49" s="24">
        <v>0</v>
      </c>
      <c r="C49" s="36" t="s">
        <v>66</v>
      </c>
      <c r="D49" s="37"/>
      <c r="E49" s="37"/>
      <c r="F49" s="37"/>
      <c r="G49" s="38"/>
    </row>
    <row r="50" spans="1:7" x14ac:dyDescent="0.3">
      <c r="A50" s="3" t="s">
        <v>67</v>
      </c>
      <c r="B50" s="24">
        <v>0</v>
      </c>
      <c r="C50" s="36" t="s">
        <v>68</v>
      </c>
      <c r="D50" s="37"/>
      <c r="E50" s="37"/>
      <c r="F50" s="37"/>
      <c r="G50" s="38"/>
    </row>
    <row r="52" spans="1:7" x14ac:dyDescent="0.3">
      <c r="A52" s="5" t="s">
        <v>69</v>
      </c>
      <c r="B52" s="8">
        <f>MAX(B47:B50)</f>
        <v>0</v>
      </c>
      <c r="C52" s="54" t="str">
        <f>IF(B52=0,"Standard (no adjustment)",IF(B52=1,"Elevated (+1 severity level)","High (+2 severity levels)"))</f>
        <v>Standard (no adjustment)</v>
      </c>
      <c r="D52" s="37"/>
      <c r="E52" s="37"/>
      <c r="F52" s="37"/>
      <c r="G52" s="38"/>
    </row>
    <row r="54" spans="1:7" ht="21.9" customHeight="1" x14ac:dyDescent="0.3">
      <c r="A54" s="44" t="s">
        <v>70</v>
      </c>
      <c r="B54" s="41"/>
      <c r="C54" s="41"/>
      <c r="D54" s="41"/>
      <c r="E54" s="41"/>
      <c r="F54" s="41"/>
      <c r="G54" s="41"/>
    </row>
    <row r="55" spans="1:7" x14ac:dyDescent="0.3">
      <c r="A55" s="5" t="s">
        <v>71</v>
      </c>
      <c r="B55" s="25">
        <f>IF(B28="None",0,IF(B28="Low",1,IF(B28="Moderate",2,3)))</f>
        <v>3</v>
      </c>
    </row>
    <row r="56" spans="1:7" x14ac:dyDescent="0.3">
      <c r="A56" s="5" t="s">
        <v>72</v>
      </c>
      <c r="B56" s="26">
        <f>B52</f>
        <v>0</v>
      </c>
    </row>
    <row r="57" spans="1:7" x14ac:dyDescent="0.3">
      <c r="A57" s="5" t="s">
        <v>73</v>
      </c>
      <c r="B57" s="26">
        <f>IF(B42&gt;0.1,-1,IF(B42&lt;=0.01,1,0))</f>
        <v>-1</v>
      </c>
    </row>
    <row r="58" spans="1:7" x14ac:dyDescent="0.3">
      <c r="A58" s="5" t="s">
        <v>74</v>
      </c>
      <c r="B58" s="25">
        <f>IF(B28="None",0,MAX(0,MIN(3,B55+B56+B57)))</f>
        <v>2</v>
      </c>
    </row>
    <row r="60" spans="1:7" x14ac:dyDescent="0.3">
      <c r="A60" s="53" t="str">
        <f>CHOOSE(B58+1,"None","Low","Moderate","Critical")</f>
        <v>Moderate</v>
      </c>
      <c r="B60" s="41"/>
      <c r="C60" s="41"/>
      <c r="D60" s="41"/>
      <c r="E60" s="41"/>
      <c r="F60" s="41"/>
      <c r="G60" s="41"/>
    </row>
    <row r="61" spans="1:7" x14ac:dyDescent="0.3">
      <c r="A61" s="41"/>
      <c r="B61" s="41"/>
      <c r="C61" s="41"/>
      <c r="D61" s="41"/>
      <c r="E61" s="41"/>
      <c r="F61" s="41"/>
      <c r="G61" s="41"/>
    </row>
    <row r="62" spans="1:7" x14ac:dyDescent="0.3">
      <c r="A62" s="41"/>
      <c r="B62" s="41"/>
      <c r="C62" s="41"/>
      <c r="D62" s="41"/>
      <c r="E62" s="41"/>
      <c r="F62" s="41"/>
      <c r="G62" s="41"/>
    </row>
    <row r="64" spans="1:7" x14ac:dyDescent="0.3">
      <c r="A64" s="55" t="str">
        <f>IF(A60="Critical","Recommended response: Immediate suspension of AI system pending remediation. Governance body review required before reactivation. Leadership notification.",IF(A60="Moderate","Recommended response: Remediation plan due within 30 days. Add human review checkpoint for affected decisions. Notify governance body. System may continue with enhanced monitoring.",IF(A60="Low","Recommended response: Document finding and root cause analysis. Monitor at next scheduled test. No system interruption required. If Low persists across two consecutive test cycles, escalate to Moderate.","Recommended response: Document results. Continue standard monitoring schedule.")))</f>
        <v>Recommended response: Remediation plan due within 30 days. Add human review checkpoint for affected decisions. Notify governance body. System may continue with enhanced monitoring.</v>
      </c>
      <c r="B64" s="41"/>
      <c r="C64" s="41"/>
      <c r="D64" s="41"/>
      <c r="E64" s="41"/>
      <c r="F64" s="41"/>
      <c r="G64" s="41"/>
    </row>
    <row r="65" spans="1:7" x14ac:dyDescent="0.3">
      <c r="A65" s="41"/>
      <c r="B65" s="41"/>
      <c r="C65" s="41"/>
      <c r="D65" s="41"/>
      <c r="E65" s="41"/>
      <c r="F65" s="41"/>
      <c r="G65" s="41"/>
    </row>
    <row r="66" spans="1:7" x14ac:dyDescent="0.3">
      <c r="A66" s="41"/>
      <c r="B66" s="41"/>
      <c r="C66" s="41"/>
      <c r="D66" s="41"/>
      <c r="E66" s="41"/>
      <c r="F66" s="41"/>
      <c r="G66" s="41"/>
    </row>
    <row r="68" spans="1:7" ht="21.9" customHeight="1" x14ac:dyDescent="0.3">
      <c r="A68" s="44" t="s">
        <v>75</v>
      </c>
      <c r="B68" s="41"/>
      <c r="C68" s="41"/>
      <c r="D68" s="41"/>
      <c r="E68" s="41"/>
      <c r="F68" s="41"/>
      <c r="G68" s="41"/>
    </row>
    <row r="69" spans="1:7" x14ac:dyDescent="0.3">
      <c r="A69" s="48" t="s">
        <v>76</v>
      </c>
      <c r="B69" s="41"/>
      <c r="C69" s="41"/>
      <c r="D69" s="41"/>
      <c r="E69" s="41"/>
      <c r="F69" s="41"/>
      <c r="G69" s="41"/>
    </row>
    <row r="70" spans="1:7" ht="36" customHeight="1" x14ac:dyDescent="0.3">
      <c r="A70" s="42" t="s">
        <v>77</v>
      </c>
      <c r="B70" s="41"/>
      <c r="C70" s="41"/>
      <c r="D70" s="41"/>
      <c r="E70" s="41"/>
      <c r="F70" s="41"/>
      <c r="G70" s="41"/>
    </row>
    <row r="71" spans="1:7" x14ac:dyDescent="0.3">
      <c r="A71" s="48" t="s">
        <v>52</v>
      </c>
      <c r="B71" s="41"/>
      <c r="C71" s="41"/>
      <c r="D71" s="41"/>
      <c r="E71" s="41"/>
      <c r="F71" s="41"/>
      <c r="G71" s="41"/>
    </row>
    <row r="72" spans="1:7" ht="36" customHeight="1" x14ac:dyDescent="0.3">
      <c r="A72" s="42" t="s">
        <v>78</v>
      </c>
      <c r="B72" s="41"/>
      <c r="C72" s="41"/>
      <c r="D72" s="41"/>
      <c r="E72" s="41"/>
      <c r="F72" s="41"/>
      <c r="G72" s="41"/>
    </row>
    <row r="73" spans="1:7" x14ac:dyDescent="0.3">
      <c r="A73" s="48" t="s">
        <v>79</v>
      </c>
      <c r="B73" s="41"/>
      <c r="C73" s="41"/>
      <c r="D73" s="41"/>
      <c r="E73" s="41"/>
      <c r="F73" s="41"/>
      <c r="G73" s="41"/>
    </row>
    <row r="74" spans="1:7" ht="36" customHeight="1" x14ac:dyDescent="0.3">
      <c r="A74" s="42" t="s">
        <v>80</v>
      </c>
      <c r="B74" s="41"/>
      <c r="C74" s="41"/>
      <c r="D74" s="41"/>
      <c r="E74" s="41"/>
      <c r="F74" s="41"/>
      <c r="G74" s="41"/>
    </row>
    <row r="75" spans="1:7" x14ac:dyDescent="0.3">
      <c r="A75" s="48" t="s">
        <v>81</v>
      </c>
      <c r="B75" s="41"/>
      <c r="C75" s="41"/>
      <c r="D75" s="41"/>
      <c r="E75" s="41"/>
      <c r="F75" s="41"/>
      <c r="G75" s="41"/>
    </row>
    <row r="76" spans="1:7" ht="36" customHeight="1" x14ac:dyDescent="0.3">
      <c r="A76" s="42" t="s">
        <v>82</v>
      </c>
      <c r="B76" s="41"/>
      <c r="C76" s="41"/>
      <c r="D76" s="41"/>
      <c r="E76" s="41"/>
      <c r="F76" s="41"/>
      <c r="G76" s="41"/>
    </row>
    <row r="78" spans="1:7" x14ac:dyDescent="0.3">
      <c r="A78" s="50" t="s">
        <v>83</v>
      </c>
      <c r="B78" s="41"/>
      <c r="C78" s="41"/>
      <c r="D78" s="41"/>
      <c r="E78" s="41"/>
      <c r="F78" s="41"/>
      <c r="G78" s="41"/>
    </row>
    <row r="79" spans="1:7" x14ac:dyDescent="0.3">
      <c r="A79" s="28" t="s">
        <v>84</v>
      </c>
      <c r="B79" s="29" t="s">
        <v>85</v>
      </c>
    </row>
  </sheetData>
  <mergeCells count="44">
    <mergeCell ref="A78:G78"/>
    <mergeCell ref="B11:E11"/>
    <mergeCell ref="A54:G54"/>
    <mergeCell ref="A60:G62"/>
    <mergeCell ref="C52:G52"/>
    <mergeCell ref="C48:G48"/>
    <mergeCell ref="A75:G75"/>
    <mergeCell ref="B17:E17"/>
    <mergeCell ref="A74:G74"/>
    <mergeCell ref="A76:G76"/>
    <mergeCell ref="B19:E19"/>
    <mergeCell ref="B26:C26"/>
    <mergeCell ref="A71:G71"/>
    <mergeCell ref="A73:G73"/>
    <mergeCell ref="A64:G66"/>
    <mergeCell ref="A45:G45"/>
    <mergeCell ref="A1:G1"/>
    <mergeCell ref="A70:G70"/>
    <mergeCell ref="C46:G46"/>
    <mergeCell ref="B12:E12"/>
    <mergeCell ref="A69:G69"/>
    <mergeCell ref="B28:C28"/>
    <mergeCell ref="B8:E8"/>
    <mergeCell ref="A3:G3"/>
    <mergeCell ref="A2:G2"/>
    <mergeCell ref="B10:E10"/>
    <mergeCell ref="A5:G5"/>
    <mergeCell ref="B6:E6"/>
    <mergeCell ref="C40:E40"/>
    <mergeCell ref="B7:E7"/>
    <mergeCell ref="A24:G24"/>
    <mergeCell ref="A14:G14"/>
    <mergeCell ref="B9:E9"/>
    <mergeCell ref="C49:G49"/>
    <mergeCell ref="B25:C25"/>
    <mergeCell ref="A22:G22"/>
    <mergeCell ref="A72:G72"/>
    <mergeCell ref="B27:C27"/>
    <mergeCell ref="A68:G68"/>
    <mergeCell ref="A44:G44"/>
    <mergeCell ref="C47:G47"/>
    <mergeCell ref="A34:G34"/>
    <mergeCell ref="C50:G50"/>
    <mergeCell ref="A30:G30"/>
  </mergeCells>
  <conditionalFormatting sqref="A60">
    <cfRule type="cellIs" dxfId="7" priority="5" operator="equal">
      <formula>"None"</formula>
    </cfRule>
    <cfRule type="cellIs" dxfId="6" priority="6" operator="equal">
      <formula>"Low"</formula>
    </cfRule>
    <cfRule type="cellIs" dxfId="5" priority="7" operator="equal">
      <formula>"Moderate"</formula>
    </cfRule>
    <cfRule type="cellIs" dxfId="4" priority="8" operator="equal">
      <formula>"Critical"</formula>
    </cfRule>
  </conditionalFormatting>
  <conditionalFormatting sqref="B28">
    <cfRule type="cellIs" dxfId="3" priority="1" operator="equal">
      <formula>"None"</formula>
    </cfRule>
    <cfRule type="cellIs" dxfId="2" priority="2" operator="equal">
      <formula>"Low"</formula>
    </cfRule>
    <cfRule type="cellIs" dxfId="1" priority="3" operator="equal">
      <formula>"Moderate"</formula>
    </cfRule>
    <cfRule type="cellIs" dxfId="0" priority="4" operator="equal">
      <formula>"Critical"</formula>
    </cfRule>
  </conditionalFormatting>
  <dataValidations count="2">
    <dataValidation type="list" allowBlank="1" sqref="B12" xr:uid="{00000000-0002-0000-0000-000000000000}">
      <formula1>"Pre-Deployment,Recurring,Incident-Triggered"</formula1>
    </dataValidation>
    <dataValidation type="list" sqref="B47 B48 B49 B50" xr:uid="{00000000-0002-0000-0000-000001000000}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showGridLines="0" workbookViewId="0">
      <selection activeCell="C17" sqref="C17"/>
    </sheetView>
  </sheetViews>
  <sheetFormatPr defaultRowHeight="14.4" x14ac:dyDescent="0.3"/>
  <cols>
    <col min="1" max="1" width="30" customWidth="1"/>
    <col min="2" max="5" width="18" customWidth="1"/>
  </cols>
  <sheetData>
    <row r="1" spans="1:5" ht="30" customHeight="1" x14ac:dyDescent="0.3">
      <c r="A1" s="56" t="s">
        <v>86</v>
      </c>
      <c r="B1" s="41"/>
      <c r="C1" s="41"/>
      <c r="D1" s="41"/>
      <c r="E1" s="41"/>
    </row>
    <row r="2" spans="1:5" x14ac:dyDescent="0.3">
      <c r="A2" s="50" t="s">
        <v>87</v>
      </c>
      <c r="B2" s="41"/>
      <c r="C2" s="41"/>
      <c r="D2" s="41"/>
      <c r="E2" s="41"/>
    </row>
    <row r="4" spans="1:5" ht="15.6" x14ac:dyDescent="0.3">
      <c r="A4" s="30" t="s">
        <v>88</v>
      </c>
    </row>
    <row r="5" spans="1:5" ht="32.1" customHeight="1" x14ac:dyDescent="0.3">
      <c r="A5" s="42" t="s">
        <v>89</v>
      </c>
      <c r="B5" s="41"/>
      <c r="C5" s="41"/>
      <c r="D5" s="41"/>
      <c r="E5" s="41"/>
    </row>
    <row r="7" spans="1:5" ht="15.6" x14ac:dyDescent="0.3">
      <c r="A7" s="30" t="s">
        <v>90</v>
      </c>
    </row>
    <row r="8" spans="1:5" x14ac:dyDescent="0.3">
      <c r="A8" s="5" t="s">
        <v>4</v>
      </c>
      <c r="B8" s="5" t="s">
        <v>5</v>
      </c>
    </row>
    <row r="9" spans="1:5" x14ac:dyDescent="0.3">
      <c r="A9" s="31" t="s">
        <v>91</v>
      </c>
      <c r="B9" s="32" t="s">
        <v>92</v>
      </c>
    </row>
    <row r="10" spans="1:5" x14ac:dyDescent="0.3">
      <c r="A10" s="31" t="s">
        <v>93</v>
      </c>
      <c r="B10" s="58">
        <v>38</v>
      </c>
    </row>
    <row r="11" spans="1:5" x14ac:dyDescent="0.3">
      <c r="A11" s="31" t="s">
        <v>94</v>
      </c>
      <c r="B11" s="58">
        <v>62</v>
      </c>
    </row>
    <row r="12" spans="1:5" x14ac:dyDescent="0.3">
      <c r="A12" s="31" t="s">
        <v>95</v>
      </c>
      <c r="B12" s="32" t="s">
        <v>96</v>
      </c>
    </row>
    <row r="13" spans="1:5" x14ac:dyDescent="0.3">
      <c r="A13" s="31" t="s">
        <v>97</v>
      </c>
      <c r="B13" s="58">
        <v>56</v>
      </c>
    </row>
    <row r="14" spans="1:5" x14ac:dyDescent="0.3">
      <c r="A14" s="31" t="s">
        <v>98</v>
      </c>
      <c r="B14" s="58">
        <v>44</v>
      </c>
    </row>
    <row r="16" spans="1:5" ht="15.6" x14ac:dyDescent="0.3">
      <c r="A16" s="30" t="s">
        <v>99</v>
      </c>
    </row>
    <row r="17" spans="1:2" x14ac:dyDescent="0.3">
      <c r="A17" s="5" t="s">
        <v>100</v>
      </c>
      <c r="B17" s="5" t="s">
        <v>101</v>
      </c>
    </row>
    <row r="18" spans="1:2" x14ac:dyDescent="0.3">
      <c r="A18" s="31" t="s">
        <v>102</v>
      </c>
      <c r="B18" s="31" t="s">
        <v>103</v>
      </c>
    </row>
    <row r="19" spans="1:2" x14ac:dyDescent="0.3">
      <c r="A19" s="31" t="s">
        <v>104</v>
      </c>
      <c r="B19" s="31" t="s">
        <v>105</v>
      </c>
    </row>
    <row r="20" spans="1:2" x14ac:dyDescent="0.3">
      <c r="A20" s="31" t="s">
        <v>106</v>
      </c>
      <c r="B20" s="31" t="s">
        <v>107</v>
      </c>
    </row>
    <row r="21" spans="1:2" x14ac:dyDescent="0.3">
      <c r="A21" s="31" t="s">
        <v>108</v>
      </c>
      <c r="B21" s="31" t="s">
        <v>39</v>
      </c>
    </row>
    <row r="22" spans="1:2" x14ac:dyDescent="0.3">
      <c r="A22" s="31" t="s">
        <v>109</v>
      </c>
      <c r="B22" s="31" t="s">
        <v>110</v>
      </c>
    </row>
    <row r="23" spans="1:2" x14ac:dyDescent="0.3">
      <c r="A23" s="31" t="s">
        <v>111</v>
      </c>
      <c r="B23" s="31" t="s">
        <v>112</v>
      </c>
    </row>
    <row r="24" spans="1:2" x14ac:dyDescent="0.3">
      <c r="A24" s="31" t="s">
        <v>113</v>
      </c>
      <c r="B24" s="31" t="s">
        <v>114</v>
      </c>
    </row>
    <row r="25" spans="1:2" x14ac:dyDescent="0.3">
      <c r="A25" s="31" t="s">
        <v>115</v>
      </c>
      <c r="B25" s="31" t="s">
        <v>112</v>
      </c>
    </row>
    <row r="26" spans="1:2" x14ac:dyDescent="0.3">
      <c r="A26" s="31" t="s">
        <v>116</v>
      </c>
      <c r="B26" s="31" t="s">
        <v>112</v>
      </c>
    </row>
    <row r="27" spans="1:2" x14ac:dyDescent="0.3">
      <c r="A27" s="31" t="s">
        <v>117</v>
      </c>
      <c r="B27" s="31" t="s">
        <v>118</v>
      </c>
    </row>
    <row r="28" spans="1:2" x14ac:dyDescent="0.3">
      <c r="A28" s="31" t="s">
        <v>119</v>
      </c>
      <c r="B28" s="31" t="s">
        <v>39</v>
      </c>
    </row>
    <row r="29" spans="1:2" x14ac:dyDescent="0.3">
      <c r="A29" s="31" t="s">
        <v>120</v>
      </c>
      <c r="B29" s="31" t="s">
        <v>40</v>
      </c>
    </row>
  </sheetData>
  <mergeCells count="3">
    <mergeCell ref="A2:E2"/>
    <mergeCell ref="A1:E1"/>
    <mergeCell ref="A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showGridLines="0" topLeftCell="A9" workbookViewId="0"/>
  </sheetViews>
  <sheetFormatPr defaultRowHeight="14.4" x14ac:dyDescent="0.3"/>
  <cols>
    <col min="1" max="1" width="100" customWidth="1"/>
  </cols>
  <sheetData>
    <row r="1" spans="1:1" ht="30" customHeight="1" x14ac:dyDescent="0.3">
      <c r="A1" s="57" t="s">
        <v>121</v>
      </c>
    </row>
    <row r="3" spans="1:1" ht="15.6" x14ac:dyDescent="0.3">
      <c r="A3" s="30" t="s">
        <v>122</v>
      </c>
    </row>
    <row r="4" spans="1:1" ht="36" customHeight="1" x14ac:dyDescent="0.3">
      <c r="A4" s="27" t="s">
        <v>123</v>
      </c>
    </row>
    <row r="6" spans="1:1" ht="15.6" x14ac:dyDescent="0.3">
      <c r="A6" s="30" t="s">
        <v>124</v>
      </c>
    </row>
    <row r="7" spans="1:1" ht="36" customHeight="1" x14ac:dyDescent="0.3">
      <c r="A7" s="27" t="s">
        <v>125</v>
      </c>
    </row>
    <row r="9" spans="1:1" ht="15.6" x14ac:dyDescent="0.3">
      <c r="A9" s="30" t="s">
        <v>126</v>
      </c>
    </row>
    <row r="10" spans="1:1" ht="36" customHeight="1" x14ac:dyDescent="0.3">
      <c r="A10" s="27" t="s">
        <v>127</v>
      </c>
    </row>
    <row r="12" spans="1:1" ht="15.6" x14ac:dyDescent="0.3">
      <c r="A12" s="30" t="s">
        <v>128</v>
      </c>
    </row>
    <row r="13" spans="1:1" ht="36" customHeight="1" x14ac:dyDescent="0.3">
      <c r="A13" s="27" t="s">
        <v>129</v>
      </c>
    </row>
    <row r="15" spans="1:1" ht="15.6" x14ac:dyDescent="0.3">
      <c r="A15" s="30" t="s">
        <v>130</v>
      </c>
    </row>
    <row r="16" spans="1:1" ht="36" customHeight="1" x14ac:dyDescent="0.3">
      <c r="A16" s="27" t="s">
        <v>131</v>
      </c>
    </row>
    <row r="18" spans="1:1" ht="15.6" x14ac:dyDescent="0.3">
      <c r="A18" s="30" t="s">
        <v>132</v>
      </c>
    </row>
    <row r="19" spans="1:1" ht="36" customHeight="1" x14ac:dyDescent="0.3">
      <c r="A19" s="27" t="s">
        <v>133</v>
      </c>
    </row>
    <row r="21" spans="1:1" ht="15.6" x14ac:dyDescent="0.3">
      <c r="A21" s="30" t="s">
        <v>134</v>
      </c>
    </row>
    <row r="22" spans="1:1" ht="36" customHeight="1" x14ac:dyDescent="0.3">
      <c r="A22" s="27" t="s">
        <v>135</v>
      </c>
    </row>
    <row r="24" spans="1:1" ht="15.6" x14ac:dyDescent="0.3">
      <c r="A24" s="30" t="s">
        <v>136</v>
      </c>
    </row>
    <row r="25" spans="1:1" ht="36" customHeight="1" x14ac:dyDescent="0.3">
      <c r="A25" s="27" t="s">
        <v>137</v>
      </c>
    </row>
    <row r="27" spans="1:1" ht="15.6" x14ac:dyDescent="0.3">
      <c r="A27" s="30" t="s">
        <v>138</v>
      </c>
    </row>
    <row r="28" spans="1:1" ht="36" customHeight="1" x14ac:dyDescent="0.3">
      <c r="A28" s="27" t="s">
        <v>82</v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Bias Test</vt:lpstr>
      <vt:lpstr>Worked Example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Wemer, Jason [HHS]</cp:lastModifiedBy>
  <dcterms:created xsi:type="dcterms:W3CDTF">2026-05-15T21:36:55Z</dcterms:created>
  <dcterms:modified xsi:type="dcterms:W3CDTF">2026-05-16T16:11:10Z</dcterms:modified>
</cp:coreProperties>
</file>