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owadhs-my.sharepoint.com/personal/jason_wemer_hhs_iowa_gov/Documents/Documents/AI/HHS AI Policy/2026-04 AI Policy update with SOPs/Bias Testing/"/>
    </mc:Choice>
  </mc:AlternateContent>
  <xr:revisionPtr revIDLastSave="0" documentId="8_{4E76BBBE-C400-44C8-9F76-30BC37C67794}" xr6:coauthVersionLast="47" xr6:coauthVersionMax="47" xr10:uidLastSave="{00000000-0000-0000-0000-000000000000}"/>
  <bookViews>
    <workbookView xWindow="3855" yWindow="0" windowWidth="21435" windowHeight="15585" tabRatio="500" xr2:uid="{00000000-000D-0000-FFFF-FFFF00000000}"/>
  </bookViews>
  <sheets>
    <sheet name="Bias Test" sheetId="1" r:id="rId1"/>
    <sheet name="Worked Example" sheetId="2" r:id="rId2"/>
    <sheet name="How to Use"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5" i="1" l="1"/>
  <c r="B59" i="1" s="1"/>
  <c r="C24" i="1"/>
  <c r="B24" i="1"/>
  <c r="D23" i="1"/>
  <c r="E23" i="1" s="1"/>
  <c r="A23" i="1"/>
  <c r="D21" i="1"/>
  <c r="A21" i="1"/>
  <c r="B31" i="1" l="1"/>
  <c r="E41" i="1"/>
  <c r="B30" i="1"/>
  <c r="E21" i="1"/>
  <c r="B39" i="1"/>
  <c r="B45" i="1"/>
  <c r="B60" i="1" s="1"/>
  <c r="C55" i="1"/>
  <c r="E39" i="1"/>
  <c r="D24" i="1"/>
  <c r="A25" i="1"/>
  <c r="B41" i="1"/>
  <c r="E40" i="1" l="1"/>
  <c r="D40" i="1"/>
  <c r="C40" i="1"/>
  <c r="B40" i="1"/>
  <c r="B42" i="1"/>
  <c r="D42" i="1" s="1"/>
  <c r="C41" i="1" s="1"/>
  <c r="D41" i="1" s="1"/>
  <c r="B29" i="1"/>
  <c r="B28" i="1"/>
  <c r="B61" i="1"/>
  <c r="B58" i="1"/>
  <c r="A67" i="1" l="1"/>
  <c r="A63" i="1"/>
  <c r="C39" i="1"/>
  <c r="D3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5" authorId="0" shapeId="0" xr:uid="{00000000-0006-0000-0000-000001000000}">
      <text>
        <r>
          <rPr>
            <sz val="10"/>
            <rFont val="Arial"/>
            <family val="2"/>
          </rPr>
          <t>On a 2x2 table the Pearson Chi-Square equals the squared pooled Z statistic, so the two p-values are always identical and MIN simply returns that shared value. Do NOT extend this MIN to additional tests (e.g., Fisher's) without a multiple-comparisons correction.</t>
        </r>
      </text>
    </comment>
  </commentList>
</comments>
</file>

<file path=xl/sharedStrings.xml><?xml version="1.0" encoding="utf-8"?>
<sst xmlns="http://schemas.openxmlformats.org/spreadsheetml/2006/main" count="150" uniqueCount="142">
  <si>
    <t>AI Bias Testing Tool</t>
  </si>
  <si>
    <t>Disparate impact analysis for AI systems</t>
  </si>
  <si>
    <t>Based on NIST AI RMF 1.0, EEOC Uniform Guidelines (29 CFR 1607.4), and NIST SP 1270</t>
  </si>
  <si>
    <t>Color guide: Yellow cells = inputs (you fill in). Gray cells = calculated values (do not edit).</t>
  </si>
  <si>
    <t>Input</t>
  </si>
  <si>
    <t>Calculation</t>
  </si>
  <si>
    <t>Section 1: System Information</t>
  </si>
  <si>
    <t>Field</t>
  </si>
  <si>
    <t>Value</t>
  </si>
  <si>
    <t>Organization</t>
  </si>
  <si>
    <t>AI System Name</t>
  </si>
  <si>
    <t>System ID (Register ID)</t>
  </si>
  <si>
    <t>AI System Owner</t>
  </si>
  <si>
    <t>Test Date</t>
  </si>
  <si>
    <t>Test Type</t>
  </si>
  <si>
    <t>Pre-Deployment</t>
  </si>
  <si>
    <t>Section 2: Group Data (Contingency Table)</t>
  </si>
  <si>
    <t>Positive Outcome</t>
  </si>
  <si>
    <t>Negative Outcome</t>
  </si>
  <si>
    <t>Total</t>
  </si>
  <si>
    <t>Rate</t>
  </si>
  <si>
    <t>(approved, selected, etc.)</t>
  </si>
  <si>
    <t>(denied, not selected, etc.)</t>
  </si>
  <si>
    <t>Group A name:</t>
  </si>
  <si>
    <t>Group A</t>
  </si>
  <si>
    <t>Group B name:</t>
  </si>
  <si>
    <t>Group B</t>
  </si>
  <si>
    <t>Total observations:</t>
  </si>
  <si>
    <t>Section 3: Disparate Impact Metrics</t>
  </si>
  <si>
    <t>Lower selection rate:</t>
  </si>
  <si>
    <t>Higher selection rate:</t>
  </si>
  <si>
    <t>Disparate Impact Ratio:</t>
  </si>
  <si>
    <t>Quantitative classification:</t>
  </si>
  <si>
    <t>Threshold reference (four-fifths rule, 29 CFR 1607.4):</t>
  </si>
  <si>
    <t>DI Ratio range</t>
  </si>
  <si>
    <t>≥ 0.90</t>
  </si>
  <si>
    <t>0.80 - 0.89</t>
  </si>
  <si>
    <t>0.65 - 0.79</t>
  </si>
  <si>
    <t>&lt; 0.65</t>
  </si>
  <si>
    <t>Classification</t>
  </si>
  <si>
    <t>None</t>
  </si>
  <si>
    <t>Low</t>
  </si>
  <si>
    <t>Moderate</t>
  </si>
  <si>
    <t>Critical</t>
  </si>
  <si>
    <t>Section 4: Statistical Significance Tests</t>
  </si>
  <si>
    <t>Test</t>
  </si>
  <si>
    <t>Validity</t>
  </si>
  <si>
    <t>Statistic</t>
  </si>
  <si>
    <t>p-value</t>
  </si>
  <si>
    <t>Interpretation</t>
  </si>
  <si>
    <t>Chi-Square Test</t>
  </si>
  <si>
    <t xml:space="preserve">  Expected counts:</t>
  </si>
  <si>
    <t>Two-Proportion Z-Test</t>
  </si>
  <si>
    <t xml:space="preserve">  Pooled proportion (p-hat):</t>
  </si>
  <si>
    <t>Standard error:</t>
  </si>
  <si>
    <t>Fisher's Exact Test</t>
  </si>
  <si>
    <t>Not available in Excel</t>
  </si>
  <si>
    <t>Best available p-value:</t>
  </si>
  <si>
    <t>Section 5: Context Assessment</t>
  </si>
  <si>
    <t>For each factor, select the score (0, 1, or 2). The highest score determines the adjustment.</t>
  </si>
  <si>
    <t>Factor</t>
  </si>
  <si>
    <t>Score</t>
  </si>
  <si>
    <t>Guidance</t>
  </si>
  <si>
    <t>Decision type</t>
  </si>
  <si>
    <t>Select 0 = Informational, 1 = Influences human decision, 2 = Directly determines outcomes</t>
  </si>
  <si>
    <t>Affected population</t>
  </si>
  <si>
    <t>Select 0 = Internal staff only, 1 = General public, 2 = Vulnerable populations</t>
  </si>
  <si>
    <t>Scale of impact</t>
  </si>
  <si>
    <t>Select 0 = &lt;100 decisions/year, 1 = 100-10,000/year, 2 = &gt;10,000/year</t>
  </si>
  <si>
    <t>Reversibility</t>
  </si>
  <si>
    <t>Select 0 = Easily reversed, 1 = Reversible with effort, 2 = Difficult to reverse</t>
  </si>
  <si>
    <t>Highest context factor:</t>
  </si>
  <si>
    <t>Section 6: Final Classification</t>
  </si>
  <si>
    <t>Quantitative index:</t>
  </si>
  <si>
    <t>Context adjustment:</t>
  </si>
  <si>
    <t>Significance adjustment:</t>
  </si>
  <si>
    <t>Final index (capped 0-3):</t>
  </si>
  <si>
    <t>Methodology and Limitations</t>
  </si>
  <si>
    <t>Methodology</t>
  </si>
  <si>
    <t>Disparate Impact Ratio per Uniform Guidelines on Employee Selection Procedures (29 CFR 1607.4). Statistical significance via Chi-Square Test of Independence and/or Two-Proportion Z-Test. Context assessment per NIST AI RMF 1.0 Measure function. The Chi-Square statistic uses the uncorrected Pearson form (no Yates continuity correction); on a 2x2 table it equals the square of the pooled Z statistic, which is why the two p-values match.</t>
  </si>
  <si>
    <t>Excel does not have a built-in Fisher's Exact Test function. For small samples (any group &lt;30, or any expected cell count &lt;5), the Chi-Square and Z-Test results in this workbook may not be reliable. In those cases, use the companion HTML tool (bias-testing-tool.html), or run Fisher's Exact in R (fisher.test) or Python (scipy.stats.fisher_exact). When neither the Chi-Square nor the Z-Test is valid (small samples), this workbook leaves the significance adjustment at zero rather than downgrading the result, so genuine small-sample disparities are not understated; run Fisher's Exact and re-evaluate before finalizing.</t>
  </si>
  <si>
    <t>References</t>
  </si>
  <si>
    <t>NIST AI RMF 1.0, NIST SP 1270 (Towards a Standard for Identifying and Managing Bias in AI), EEOC Technical Assistance on AI and Title VII (May 2023).</t>
  </si>
  <si>
    <t>Worked Example: Medicaid Application Completeness Review</t>
  </si>
  <si>
    <t>Use this example to verify the Bias Test sheet is producing expected results.</t>
  </si>
  <si>
    <t>Scenario</t>
  </si>
  <si>
    <t>An AI system reviews Medicaid applications for completeness. We are testing whether the approval rate differs between Hispanic and non-Hispanic applicants.</t>
  </si>
  <si>
    <t>Inputs to enter on Bias Test sheet:</t>
  </si>
  <si>
    <t>Group A name</t>
  </si>
  <si>
    <t>Hispanic</t>
  </si>
  <si>
    <t>Group A Positive Outcome</t>
  </si>
  <si>
    <t>38</t>
  </si>
  <si>
    <t>Group A Negative Outcome</t>
  </si>
  <si>
    <t>62</t>
  </si>
  <si>
    <t>Group B name</t>
  </si>
  <si>
    <t>Non-Hispanic</t>
  </si>
  <si>
    <t>Group B Positive Outcome</t>
  </si>
  <si>
    <t>56</t>
  </si>
  <si>
    <t>Group B Negative Outcome</t>
  </si>
  <si>
    <t>44</t>
  </si>
  <si>
    <t>Expected results:</t>
  </si>
  <si>
    <t>Output</t>
  </si>
  <si>
    <t>Expected Value</t>
  </si>
  <si>
    <t>Hispanic selection rate</t>
  </si>
  <si>
    <t>38.0%</t>
  </si>
  <si>
    <t>Non-Hispanic selection rate</t>
  </si>
  <si>
    <t>56.0%</t>
  </si>
  <si>
    <t>Disparate Impact Ratio</t>
  </si>
  <si>
    <t>0.679</t>
  </si>
  <si>
    <t>Quantitative classification</t>
  </si>
  <si>
    <t>Chi-Square statistic</t>
  </si>
  <si>
    <t>6.502</t>
  </si>
  <si>
    <t>Chi-Square p-value</t>
  </si>
  <si>
    <t>0.0108</t>
  </si>
  <si>
    <t>Z-Test statistic</t>
  </si>
  <si>
    <t>-2.550</t>
  </si>
  <si>
    <t>Z-Test p-value</t>
  </si>
  <si>
    <t>Best p-value</t>
  </si>
  <si>
    <t>Significance</t>
  </si>
  <si>
    <t>Significant</t>
  </si>
  <si>
    <t>Final classification (with no context adjustments)</t>
  </si>
  <si>
    <t>Final classification (with all context = 2)</t>
  </si>
  <si>
    <t>How to Use This Workbook</t>
  </si>
  <si>
    <t>Overview</t>
  </si>
  <si>
    <t>This workbook helps you test an AI system for disparate impact bias using the four-fifths rule and statistical significance testing. Fill in the yellow cells on the Bias Test sheet; gray cells calculate automatically.</t>
  </si>
  <si>
    <t>Step 1: System Information</t>
  </si>
  <si>
    <t>Fill in Organization, AI System Name, System ID, AI System Owner, Test Date, and Test Type. Test Type is a dropdown with Pre-Deployment, Recurring, or Incident-Triggered.</t>
  </si>
  <si>
    <t>Step 2: Group Data</t>
  </si>
  <si>
    <t>Enter the two comparison groups (e.g., Hispanic vs. Non-Hispanic) and the counts of positive and negative outcomes for each group. The workbook calculates totals and selection rates automatically.</t>
  </si>
  <si>
    <t>Step 3: Review Metrics</t>
  </si>
  <si>
    <t>The Disparate Impact Ratio is calculated as the lower selection rate divided by the higher selection rate. Classification thresholds: ≥ 0.90 = None, 0.80-0.89 = Low, 0.65-0.79 = Moderate, &lt; 0.65 = Critical.</t>
  </si>
  <si>
    <t>Step 4: Statistical Tests</t>
  </si>
  <si>
    <t>Chi-Square Test runs automatically if all expected cell counts are 5 or greater. Two-Proportion Z-Test runs automatically if both groups have 30 or more observations. Fisher's Exact Test is not available in Excel; for small samples, use the HTML version of the tool or run it in R or Python.</t>
  </si>
  <si>
    <t>Step 5: Context Assessment</t>
  </si>
  <si>
    <t>Score each of the four context factors (Decision type, Affected population, Scale of impact, Reversibility) from 0 to 2. The highest score determines the context adjustment.</t>
  </si>
  <si>
    <t>Step 6: Final Classification</t>
  </si>
  <si>
    <t>Calculated from the quantitative finding, context adjustment, and statistical significance. The recommended response appears below the classification. If the sample is too small to test significance, the adjustment is held at zero and the classification reflects the quantitative finding and context only.</t>
  </si>
  <si>
    <t>Printing</t>
  </si>
  <si>
    <t>To print a report, select the Bias Test sheet, go to File &gt; Print, set scaling to 'Fit to 1 page', and print. The Worked Example sheet can be used as a reference.</t>
  </si>
  <si>
    <t>Open Source</t>
  </si>
  <si>
    <t>Free for use by anyone under the MIT License. Questions, feedback, or contributions: github.com/jasonanwe/bias-testing-app</t>
  </si>
  <si>
    <t>See note below starting in Row 75. Use the HTML tool, R, Python, or an online calculator for Fisher's Exact when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</si>
</sst>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0"/>
  </numFmts>
  <fonts count="15" x14ac:knownFonts="1">
    <font>
      <sz val="11"/>
      <color theme="1"/>
      <name val="Calibri"/>
      <family val="2"/>
      <charset val="1"/>
    </font>
    <font>
      <b/>
      <sz val="22"/>
      <color rgb="FFFFFFFF"/>
      <name val="Arial"/>
      <charset val="1"/>
    </font>
    <font>
      <i/>
      <sz val="11"/>
      <color rgb="FF333333"/>
      <name val="Arial"/>
      <charset val="1"/>
    </font>
    <font>
      <i/>
      <sz val="9"/>
      <color rgb="FF666666"/>
      <name val="Arial"/>
      <charset val="1"/>
    </font>
    <font>
      <sz val="10"/>
      <color rgb="FF000080"/>
      <name val="Arial"/>
      <charset val="1"/>
    </font>
    <font>
      <sz val="10"/>
      <color rgb="FF000000"/>
      <name val="Arial"/>
      <charset val="1"/>
    </font>
    <font>
      <b/>
      <sz val="11"/>
      <color rgb="FFFFFFFF"/>
      <name val="Arial"/>
      <charset val="1"/>
    </font>
    <font>
      <b/>
      <sz val="10"/>
      <color rgb="FF000000"/>
      <name val="Arial"/>
      <charset val="1"/>
    </font>
    <font>
      <b/>
      <sz val="32"/>
      <color rgb="FF000000"/>
      <name val="Arial"/>
      <charset val="1"/>
    </font>
    <font>
      <sz val="11"/>
      <color rgb="FF000000"/>
      <name val="Arial"/>
      <charset val="1"/>
    </font>
    <font>
      <b/>
      <sz val="10"/>
      <color rgb="FF1F3864"/>
      <name val="Arial"/>
      <charset val="1"/>
    </font>
    <font>
      <sz val="10"/>
      <name val="Arial"/>
      <family val="2"/>
    </font>
    <font>
      <b/>
      <sz val="16"/>
      <color rgb="FFFFFFFF"/>
      <name val="Arial"/>
      <charset val="1"/>
    </font>
    <font>
      <b/>
      <sz val="12"/>
      <color rgb="FF1F3864"/>
      <name val="Arial"/>
      <charset val="1"/>
    </font>
    <font>
      <b/>
      <sz val="18"/>
      <color rgb="FF1F3864"/>
      <name val="Arial"/>
      <charset val="1"/>
    </font>
  </fonts>
  <fills count="11">
    <fill>
      <patternFill patternType="none"/>
    </fill>
    <fill>
      <patternFill patternType="gray125"/>
    </fill>
    <fill>
      <patternFill patternType="solid">
        <fgColor rgb="FF1F3864"/>
        <bgColor rgb="FF333333"/>
      </patternFill>
    </fill>
    <fill>
      <patternFill patternType="solid">
        <fgColor rgb="FFFFF9E6"/>
        <bgColor rgb="FFFFF8E1"/>
      </patternFill>
    </fill>
    <fill>
      <patternFill patternType="solid">
        <fgColor rgb="FFF0F0F0"/>
        <bgColor rgb="FFE8F5E9"/>
      </patternFill>
    </fill>
    <fill>
      <patternFill patternType="solid">
        <fgColor rgb="FF2E75B6"/>
        <bgColor rgb="FF0066CC"/>
      </patternFill>
    </fill>
    <fill>
      <patternFill patternType="solid">
        <fgColor rgb="FFE8F0FE"/>
        <bgColor rgb="FFF0F0F0"/>
      </patternFill>
    </fill>
    <fill>
      <patternFill patternType="solid">
        <fgColor rgb="FFE8F5E9"/>
        <bgColor rgb="FFF0F0F0"/>
      </patternFill>
    </fill>
    <fill>
      <patternFill patternType="solid">
        <fgColor rgb="FFFFF8E1"/>
        <bgColor rgb="FFFFF9E6"/>
      </patternFill>
    </fill>
    <fill>
      <patternFill patternType="solid">
        <fgColor rgb="FFFFF3E0"/>
        <bgColor rgb="FFFFF8E1"/>
      </patternFill>
    </fill>
    <fill>
      <patternFill patternType="solid">
        <fgColor rgb="FFFFEBEE"/>
        <bgColor rgb="FFFFF3E0"/>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53">
    <xf numFmtId="0" fontId="0" fillId="0" borderId="0" xfId="0"/>
    <xf numFmtId="0" fontId="7" fillId="6" borderId="1" xfId="0" applyFont="1" applyFill="1" applyBorder="1" applyAlignment="1">
      <alignment horizontal="center" vertical="center" wrapText="1"/>
    </xf>
    <xf numFmtId="0" fontId="3" fillId="0" borderId="0" xfId="0" applyFont="1"/>
    <xf numFmtId="164" fontId="5" fillId="4" borderId="1" xfId="0" applyNumberFormat="1" applyFont="1" applyFill="1" applyBorder="1" applyAlignment="1">
      <alignment horizontal="center" vertical="center" wrapText="1"/>
    </xf>
    <xf numFmtId="0" fontId="3" fillId="0" borderId="0" xfId="0" applyFont="1" applyAlignment="1">
      <alignment horizontal="left" vertical="center" wrapText="1"/>
    </xf>
    <xf numFmtId="0" fontId="7" fillId="6" borderId="1" xfId="0" applyFont="1" applyFill="1" applyBorder="1"/>
    <xf numFmtId="0" fontId="3" fillId="0" borderId="0" xfId="0" applyFont="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7" fillId="6" borderId="1" xfId="0" applyFont="1" applyFill="1" applyBorder="1" applyAlignment="1">
      <alignment horizontal="left" vertical="center" wrapText="1"/>
    </xf>
    <xf numFmtId="1" fontId="4" fillId="3" borderId="1" xfId="0" applyNumberFormat="1" applyFont="1" applyFill="1" applyBorder="1" applyAlignment="1" applyProtection="1">
      <alignment horizontal="center" vertical="center" wrapText="1"/>
      <protection locked="0"/>
    </xf>
    <xf numFmtId="1" fontId="5" fillId="4" borderId="1" xfId="0" applyNumberFormat="1" applyFont="1" applyFill="1" applyBorder="1" applyAlignment="1">
      <alignment horizontal="center" vertical="center" wrapText="1"/>
    </xf>
    <xf numFmtId="1" fontId="7" fillId="4" borderId="1" xfId="0" applyNumberFormat="1" applyFont="1" applyFill="1" applyBorder="1" applyAlignment="1">
      <alignment horizontal="center" vertical="center" wrapText="1"/>
    </xf>
    <xf numFmtId="0" fontId="0" fillId="6" borderId="1" xfId="0" applyFill="1" applyBorder="1"/>
    <xf numFmtId="0" fontId="7" fillId="0" borderId="1" xfId="0" applyFont="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5" fillId="0" borderId="1" xfId="0" applyFont="1" applyBorder="1" applyAlignment="1">
      <alignment horizontal="center" vertical="center" wrapText="1"/>
    </xf>
    <xf numFmtId="165" fontId="5" fillId="4" borderId="1" xfId="0" applyNumberFormat="1" applyFont="1" applyFill="1" applyBorder="1" applyAlignment="1">
      <alignment horizontal="center" vertical="center" wrapText="1"/>
    </xf>
    <xf numFmtId="166" fontId="5" fillId="4" borderId="1" xfId="0" applyNumberFormat="1" applyFont="1" applyFill="1" applyBorder="1" applyAlignment="1">
      <alignment horizontal="center" vertical="center" wrapText="1"/>
    </xf>
    <xf numFmtId="2" fontId="3" fillId="0" borderId="1"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0" fontId="3" fillId="0" borderId="0" xfId="0" applyFont="1" applyAlignment="1">
      <alignment horizontal="right" vertical="center"/>
    </xf>
    <xf numFmtId="166" fontId="7" fillId="4" borderId="1" xfId="0" applyNumberFormat="1"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167" fontId="3" fillId="4" borderId="1" xfId="0" applyNumberFormat="1" applyFont="1" applyFill="1" applyBorder="1" applyAlignment="1">
      <alignment horizontal="center" vertical="center" wrapText="1"/>
    </xf>
    <xf numFmtId="0" fontId="5" fillId="0" borderId="0" xfId="0" applyFont="1" applyAlignment="1">
      <alignment horizontal="left" vertical="top" wrapText="1"/>
    </xf>
    <xf numFmtId="0" fontId="13" fillId="0" borderId="0" xfId="0" applyFont="1"/>
    <xf numFmtId="0" fontId="5" fillId="0" borderId="1" xfId="0" applyFont="1" applyBorder="1"/>
    <xf numFmtId="0" fontId="4" fillId="3" borderId="1" xfId="0" applyFont="1" applyFill="1" applyBorder="1"/>
    <xf numFmtId="0" fontId="14" fillId="0" borderId="0" xfId="0" applyFont="1" applyAlignment="1">
      <alignment horizontal="left" vertical="center" wrapText="1"/>
    </xf>
    <xf numFmtId="0" fontId="10" fillId="0" borderId="0" xfId="0" applyFont="1" applyAlignment="1">
      <alignment horizontal="left" vertical="center" wrapText="1"/>
    </xf>
    <xf numFmtId="0" fontId="5" fillId="0" borderId="0" xfId="0" applyFont="1" applyAlignment="1">
      <alignment horizontal="left" vertical="top" wrapText="1"/>
    </xf>
    <xf numFmtId="0" fontId="6" fillId="5" borderId="0" xfId="0" applyFont="1" applyFill="1" applyAlignment="1">
      <alignment horizontal="left" vertical="center" wrapText="1"/>
    </xf>
    <xf numFmtId="0" fontId="3" fillId="0" borderId="1" xfId="0" applyFont="1" applyBorder="1" applyAlignment="1">
      <alignment horizontal="left" vertical="center" wrapText="1"/>
    </xf>
    <xf numFmtId="0" fontId="5" fillId="4" borderId="1" xfId="0" applyFont="1" applyFill="1" applyBorder="1" applyAlignment="1">
      <alignment horizontal="left" vertical="center" wrapText="1"/>
    </xf>
    <xf numFmtId="0" fontId="8" fillId="0" borderId="0" xfId="0" applyFont="1" applyAlignment="1">
      <alignment horizontal="center" vertical="center" wrapText="1"/>
    </xf>
    <xf numFmtId="0" fontId="9" fillId="0" borderId="1" xfId="0" applyFont="1" applyBorder="1" applyAlignment="1">
      <alignment horizontal="left" vertical="center" wrapText="1"/>
    </xf>
    <xf numFmtId="0" fontId="3" fillId="0" borderId="0" xfId="0" applyFont="1"/>
    <xf numFmtId="0" fontId="7" fillId="6"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3" fillId="0" borderId="0" xfId="0" applyFont="1" applyAlignment="1">
      <alignment horizontal="left" vertical="center" wrapText="1"/>
    </xf>
    <xf numFmtId="164" fontId="5" fillId="4" borderId="1" xfId="0" applyNumberFormat="1" applyFont="1" applyFill="1" applyBorder="1" applyAlignment="1">
      <alignment horizontal="center" vertical="center" wrapText="1"/>
    </xf>
    <xf numFmtId="165" fontId="7" fillId="4" borderId="1" xfId="0" applyNumberFormat="1" applyFont="1" applyFill="1" applyBorder="1" applyAlignment="1">
      <alignment horizontal="center" vertical="center" wrapText="1"/>
    </xf>
    <xf numFmtId="0" fontId="4" fillId="3" borderId="1" xfId="0" applyFont="1" applyFill="1" applyBorder="1" applyAlignment="1" applyProtection="1">
      <alignment horizontal="left" vertical="center" wrapText="1"/>
      <protection locked="0"/>
    </xf>
    <xf numFmtId="0" fontId="7" fillId="6" borderId="1" xfId="0" applyFont="1" applyFill="1" applyBorder="1"/>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2" fillId="2" borderId="0" xfId="0" applyFont="1" applyFill="1" applyAlignment="1">
      <alignment horizontal="center" vertical="center" wrapText="1"/>
    </xf>
  </cellXfs>
  <cellStyles count="1">
    <cellStyle name="Normal" xfId="0" builtinId="0"/>
  </cellStyles>
  <dxfs count="8">
    <dxf>
      <fill>
        <patternFill>
          <bgColor rgb="FFFFEBEE"/>
        </patternFill>
      </fill>
    </dxf>
    <dxf>
      <fill>
        <patternFill>
          <bgColor rgb="FFFFF3E0"/>
        </patternFill>
      </fill>
    </dxf>
    <dxf>
      <fill>
        <patternFill>
          <bgColor rgb="FFFFF8E1"/>
        </patternFill>
      </fill>
    </dxf>
    <dxf>
      <fill>
        <patternFill>
          <bgColor rgb="FFE8F5E9"/>
        </patternFill>
      </fill>
    </dxf>
    <dxf>
      <fill>
        <patternFill>
          <bgColor rgb="FFFFEBEE"/>
        </patternFill>
      </fill>
    </dxf>
    <dxf>
      <fill>
        <patternFill>
          <bgColor rgb="FFFFF3E0"/>
        </patternFill>
      </fill>
    </dxf>
    <dxf>
      <fill>
        <patternFill>
          <bgColor rgb="FFFFF8E1"/>
        </patternFill>
      </fill>
    </dxf>
    <dxf>
      <fill>
        <patternFill>
          <bgColor rgb="FFE8F5E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8E1"/>
      <rgbColor rgb="FFE8F5E9"/>
      <rgbColor rgb="FF660066"/>
      <rgbColor rgb="FFFF8080"/>
      <rgbColor rgb="FF0066CC"/>
      <rgbColor rgb="FFFFF9E6"/>
      <rgbColor rgb="FF000080"/>
      <rgbColor rgb="FFFF00FF"/>
      <rgbColor rgb="FFFFFF00"/>
      <rgbColor rgb="FF00FFFF"/>
      <rgbColor rgb="FF800080"/>
      <rgbColor rgb="FF800000"/>
      <rgbColor rgb="FF008080"/>
      <rgbColor rgb="FF0000FF"/>
      <rgbColor rgb="FF00CCFF"/>
      <rgbColor rgb="FFE8F0FE"/>
      <rgbColor rgb="FFF0F0F0"/>
      <rgbColor rgb="FFFFF3E0"/>
      <rgbColor rgb="FF99CCFF"/>
      <rgbColor rgb="FFFF99CC"/>
      <rgbColor rgb="FFCC99FF"/>
      <rgbColor rgb="FFFFEBEE"/>
      <rgbColor rgb="FF2E75B6"/>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9"/>
  <sheetViews>
    <sheetView showGridLines="0" tabSelected="1" topLeftCell="A57" zoomScaleNormal="100" workbookViewId="0">
      <selection activeCell="G43" sqref="G43"/>
    </sheetView>
  </sheetViews>
  <sheetFormatPr defaultColWidth="8.7109375" defaultRowHeight="15" x14ac:dyDescent="0.25"/>
  <cols>
    <col min="1" max="1" width="26" customWidth="1"/>
    <col min="2" max="5" width="18" customWidth="1"/>
    <col min="6" max="6" width="4" customWidth="1"/>
    <col min="7" max="7" width="30" customWidth="1"/>
  </cols>
  <sheetData>
    <row r="1" spans="1:7" ht="36" customHeight="1" x14ac:dyDescent="0.25">
      <c r="A1" s="49" t="s">
        <v>0</v>
      </c>
      <c r="B1" s="49"/>
      <c r="C1" s="49"/>
      <c r="D1" s="49"/>
      <c r="E1" s="49"/>
      <c r="F1" s="49"/>
      <c r="G1" s="49"/>
    </row>
    <row r="2" spans="1:7" ht="18" customHeight="1" x14ac:dyDescent="0.25">
      <c r="A2" s="50" t="s">
        <v>1</v>
      </c>
      <c r="B2" s="50"/>
      <c r="C2" s="50"/>
      <c r="D2" s="50"/>
      <c r="E2" s="50"/>
      <c r="F2" s="50"/>
      <c r="G2" s="50"/>
    </row>
    <row r="3" spans="1:7" ht="15" customHeight="1" x14ac:dyDescent="0.25">
      <c r="A3" s="51" t="s">
        <v>2</v>
      </c>
      <c r="B3" s="51"/>
      <c r="C3" s="51"/>
      <c r="D3" s="51"/>
      <c r="E3" s="51"/>
      <c r="F3" s="51"/>
      <c r="G3" s="51"/>
    </row>
    <row r="4" spans="1:7" x14ac:dyDescent="0.25">
      <c r="A4" s="6"/>
    </row>
    <row r="5" spans="1:7" ht="15" customHeight="1" x14ac:dyDescent="0.25">
      <c r="A5" s="51" t="s">
        <v>3</v>
      </c>
      <c r="B5" s="51"/>
      <c r="C5" s="51"/>
      <c r="D5" s="51"/>
      <c r="E5" s="51"/>
      <c r="F5" s="51"/>
      <c r="G5" s="51"/>
    </row>
    <row r="6" spans="1:7" x14ac:dyDescent="0.25">
      <c r="A6" s="7" t="s">
        <v>4</v>
      </c>
      <c r="B6" s="8" t="s">
        <v>5</v>
      </c>
    </row>
    <row r="8" spans="1:7" ht="21.75" customHeight="1" x14ac:dyDescent="0.25">
      <c r="A8" s="36" t="s">
        <v>6</v>
      </c>
      <c r="B8" s="36"/>
      <c r="C8" s="36"/>
      <c r="D8" s="36"/>
      <c r="E8" s="36"/>
      <c r="F8" s="36"/>
      <c r="G8" s="36"/>
    </row>
    <row r="9" spans="1:7" x14ac:dyDescent="0.25">
      <c r="A9" s="5" t="s">
        <v>7</v>
      </c>
      <c r="B9" s="48" t="s">
        <v>8</v>
      </c>
      <c r="C9" s="48"/>
      <c r="D9" s="48"/>
      <c r="E9" s="48"/>
    </row>
    <row r="10" spans="1:7" x14ac:dyDescent="0.25">
      <c r="A10" s="9" t="s">
        <v>9</v>
      </c>
      <c r="B10" s="47"/>
      <c r="C10" s="47"/>
      <c r="D10" s="47"/>
      <c r="E10" s="47"/>
    </row>
    <row r="11" spans="1:7" x14ac:dyDescent="0.25">
      <c r="A11" s="9" t="s">
        <v>10</v>
      </c>
      <c r="B11" s="47"/>
      <c r="C11" s="47"/>
      <c r="D11" s="47"/>
      <c r="E11" s="47"/>
    </row>
    <row r="12" spans="1:7" x14ac:dyDescent="0.25">
      <c r="A12" s="9" t="s">
        <v>11</v>
      </c>
      <c r="B12" s="47"/>
      <c r="C12" s="47"/>
      <c r="D12" s="47"/>
      <c r="E12" s="47"/>
    </row>
    <row r="13" spans="1:7" x14ac:dyDescent="0.25">
      <c r="A13" s="9" t="s">
        <v>12</v>
      </c>
      <c r="B13" s="47"/>
      <c r="C13" s="47"/>
      <c r="D13" s="47"/>
      <c r="E13" s="47"/>
    </row>
    <row r="14" spans="1:7" x14ac:dyDescent="0.25">
      <c r="A14" s="9" t="s">
        <v>13</v>
      </c>
      <c r="B14" s="47"/>
      <c r="C14" s="47"/>
      <c r="D14" s="47"/>
      <c r="E14" s="47"/>
    </row>
    <row r="15" spans="1:7" ht="15" customHeight="1" x14ac:dyDescent="0.25">
      <c r="A15" s="9" t="s">
        <v>14</v>
      </c>
      <c r="B15" s="47" t="s">
        <v>15</v>
      </c>
      <c r="C15" s="47"/>
      <c r="D15" s="47"/>
      <c r="E15" s="47"/>
    </row>
    <row r="17" spans="1:7" ht="21.75" customHeight="1" x14ac:dyDescent="0.25">
      <c r="A17" s="36" t="s">
        <v>16</v>
      </c>
      <c r="B17" s="36"/>
      <c r="C17" s="36"/>
      <c r="D17" s="36"/>
      <c r="E17" s="36"/>
      <c r="F17" s="36"/>
      <c r="G17" s="36"/>
    </row>
    <row r="18" spans="1:7" x14ac:dyDescent="0.25">
      <c r="B18" s="1" t="s">
        <v>17</v>
      </c>
      <c r="C18" s="1" t="s">
        <v>18</v>
      </c>
      <c r="D18" s="1" t="s">
        <v>19</v>
      </c>
      <c r="E18" s="1" t="s">
        <v>20</v>
      </c>
    </row>
    <row r="19" spans="1:7" ht="24" customHeight="1" x14ac:dyDescent="0.25">
      <c r="B19" s="6" t="s">
        <v>21</v>
      </c>
      <c r="C19" s="6" t="s">
        <v>22</v>
      </c>
    </row>
    <row r="20" spans="1:7" ht="18" customHeight="1" x14ac:dyDescent="0.25">
      <c r="A20" s="9" t="s">
        <v>23</v>
      </c>
      <c r="B20" s="47" t="s">
        <v>24</v>
      </c>
      <c r="C20" s="47"/>
      <c r="D20" s="47"/>
      <c r="E20" s="47"/>
    </row>
    <row r="21" spans="1:7" x14ac:dyDescent="0.25">
      <c r="A21" s="10" t="str">
        <f>B20</f>
        <v>Group A</v>
      </c>
      <c r="B21" s="11">
        <v>0</v>
      </c>
      <c r="C21" s="11">
        <v>0</v>
      </c>
      <c r="D21" s="12">
        <f>B21+C21</f>
        <v>0</v>
      </c>
      <c r="E21" s="3">
        <f>IF(D21&gt;0,B21/D21,0)</f>
        <v>0</v>
      </c>
    </row>
    <row r="22" spans="1:7" ht="18" customHeight="1" x14ac:dyDescent="0.25">
      <c r="A22" s="9" t="s">
        <v>25</v>
      </c>
      <c r="B22" s="47" t="s">
        <v>26</v>
      </c>
      <c r="C22" s="47"/>
      <c r="D22" s="47"/>
      <c r="E22" s="47"/>
    </row>
    <row r="23" spans="1:7" x14ac:dyDescent="0.25">
      <c r="A23" s="10" t="str">
        <f>B22</f>
        <v>Group B</v>
      </c>
      <c r="B23" s="11">
        <v>0</v>
      </c>
      <c r="C23" s="11">
        <v>0</v>
      </c>
      <c r="D23" s="12">
        <f>B23+C23</f>
        <v>0</v>
      </c>
      <c r="E23" s="3">
        <f>IF(D23&gt;0,B23/D23,0)</f>
        <v>0</v>
      </c>
    </row>
    <row r="24" spans="1:7" x14ac:dyDescent="0.25">
      <c r="A24" s="10" t="s">
        <v>27</v>
      </c>
      <c r="B24" s="13">
        <f>B21+B23</f>
        <v>0</v>
      </c>
      <c r="C24" s="13">
        <f>C21+C23</f>
        <v>0</v>
      </c>
      <c r="D24" s="13">
        <f>D21+D23</f>
        <v>0</v>
      </c>
      <c r="E24" s="14"/>
    </row>
    <row r="25" spans="1:7" x14ac:dyDescent="0.25">
      <c r="A25" s="44" t="str">
        <f>IF(OR(D21&lt;30,D23&lt;30),"Note: One or both groups have fewer than 30 observations. Fisher's Exact Test is recommended. The Z-test will be marked Not Applicable.","")</f>
        <v>Note: One or both groups have fewer than 30 observations. Fisher's Exact Test is recommended. The Z-test will be marked Not Applicable.</v>
      </c>
      <c r="B25" s="44"/>
      <c r="C25" s="44"/>
      <c r="D25" s="44"/>
      <c r="E25" s="44"/>
      <c r="F25" s="44"/>
      <c r="G25" s="44"/>
    </row>
    <row r="27" spans="1:7" ht="21.75" customHeight="1" x14ac:dyDescent="0.25">
      <c r="A27" s="36" t="s">
        <v>28</v>
      </c>
      <c r="B27" s="36"/>
      <c r="C27" s="36"/>
      <c r="D27" s="36"/>
      <c r="E27" s="36"/>
      <c r="F27" s="36"/>
      <c r="G27" s="36"/>
    </row>
    <row r="28" spans="1:7" x14ac:dyDescent="0.25">
      <c r="A28" s="10" t="s">
        <v>29</v>
      </c>
      <c r="B28" s="45">
        <f>MIN(E21,E23)</f>
        <v>0</v>
      </c>
      <c r="C28" s="45"/>
    </row>
    <row r="29" spans="1:7" x14ac:dyDescent="0.25">
      <c r="A29" s="10" t="s">
        <v>30</v>
      </c>
      <c r="B29" s="45">
        <f>MAX(E21,E23)</f>
        <v>0</v>
      </c>
      <c r="C29" s="45"/>
    </row>
    <row r="30" spans="1:7" x14ac:dyDescent="0.25">
      <c r="A30" s="10" t="s">
        <v>31</v>
      </c>
      <c r="B30" s="46" t="str">
        <f>IF(AND(D21&gt;0,D23&gt;0),IF(B29&gt;0,B28/B29,0),"")</f>
        <v/>
      </c>
      <c r="C30" s="46"/>
    </row>
    <row r="31" spans="1:7" x14ac:dyDescent="0.25">
      <c r="A31" s="10" t="s">
        <v>32</v>
      </c>
      <c r="B31" s="43" t="str">
        <f>IF(AND(D21&gt;0,D23&gt;0),IF(B30&gt;=0.9,"None",IF(B30&gt;=0.8,"Low",IF(B30&gt;=0.65,"Moderate","Critical"))),"Enter group data")</f>
        <v>Enter group data</v>
      </c>
      <c r="C31" s="43"/>
    </row>
    <row r="33" spans="1:7" x14ac:dyDescent="0.25">
      <c r="A33" s="41" t="s">
        <v>33</v>
      </c>
      <c r="B33" s="41"/>
      <c r="C33" s="41"/>
      <c r="D33" s="41"/>
      <c r="E33" s="41"/>
      <c r="F33" s="41"/>
      <c r="G33" s="41"/>
    </row>
    <row r="34" spans="1:7" x14ac:dyDescent="0.25">
      <c r="A34" s="1" t="s">
        <v>34</v>
      </c>
      <c r="B34" s="1" t="s">
        <v>35</v>
      </c>
      <c r="C34" s="1" t="s">
        <v>36</v>
      </c>
      <c r="D34" s="1" t="s">
        <v>37</v>
      </c>
      <c r="E34" s="1" t="s">
        <v>38</v>
      </c>
    </row>
    <row r="35" spans="1:7" x14ac:dyDescent="0.25">
      <c r="A35" s="15" t="s">
        <v>39</v>
      </c>
      <c r="B35" s="16" t="s">
        <v>40</v>
      </c>
      <c r="C35" s="17" t="s">
        <v>41</v>
      </c>
      <c r="D35" s="18" t="s">
        <v>42</v>
      </c>
      <c r="E35" s="19" t="s">
        <v>43</v>
      </c>
    </row>
    <row r="37" spans="1:7" ht="21.75" customHeight="1" x14ac:dyDescent="0.25">
      <c r="A37" s="36" t="s">
        <v>44</v>
      </c>
      <c r="B37" s="36"/>
      <c r="C37" s="36"/>
      <c r="D37" s="36"/>
      <c r="E37" s="36"/>
      <c r="F37" s="36"/>
      <c r="G37" s="36"/>
    </row>
    <row r="38" spans="1:7" x14ac:dyDescent="0.25">
      <c r="A38" s="1" t="s">
        <v>45</v>
      </c>
      <c r="B38" s="1" t="s">
        <v>46</v>
      </c>
      <c r="C38" s="1" t="s">
        <v>47</v>
      </c>
      <c r="D38" s="1" t="s">
        <v>48</v>
      </c>
      <c r="E38" s="1" t="s">
        <v>49</v>
      </c>
    </row>
    <row r="39" spans="1:7" ht="29.25" customHeight="1" x14ac:dyDescent="0.25">
      <c r="A39" s="9" t="s">
        <v>50</v>
      </c>
      <c r="B39" s="20" t="str">
        <f>IF(AND(D21&gt;0,D23&gt;0),IF(AND(B40&gt;=5,C40&gt;=5,D40&gt;=5,E40&gt;=5),"Valid","Invalid (expected count &lt;5)"),"")</f>
        <v/>
      </c>
      <c r="C39" s="21" t="str">
        <f>IF(AND(B40&gt;=5,C40&gt;=5,D40&gt;=5,E40&gt;=5),IF(B40&gt;0,((B21-B40)^2)/B40,0)+IF(C40&gt;0,((C21-C40)^2)/C40,0)+IF(D40&gt;0,((B23-D40)^2)/D40,0)+IF(E40&gt;0,((C23-E40)^2)/E40,0),"")</f>
        <v/>
      </c>
      <c r="D39" s="22" t="str">
        <f>IF(AND(B40&gt;=5,C40&gt;=5,D40&gt;=5,E40&gt;=5,ISNUMBER(C39)),CHIDIST(C39,1),"")</f>
        <v/>
      </c>
      <c r="E39" s="20" t="str">
        <f>IF(AND(D21&gt;0,D23&gt;0),IF(NOT(ISNUMBER(D39)),"N/A",IF(D39&lt;=0.01,"Highly significant",IF(D39&lt;=0.05,"Significant",IF(D39&lt;=0.1,"Marginal","Not significant")))),"")</f>
        <v/>
      </c>
    </row>
    <row r="40" spans="1:7" x14ac:dyDescent="0.25">
      <c r="A40" s="4" t="s">
        <v>51</v>
      </c>
      <c r="B40" s="23">
        <f>IF(D24&gt;0,(D21*B24)/D24,0)</f>
        <v>0</v>
      </c>
      <c r="C40" s="23">
        <f>IF(D24&gt;0,(D21*C24)/D24,0)</f>
        <v>0</v>
      </c>
      <c r="D40" s="23">
        <f>IF(D24&gt;0,(D23*B24)/D24,0)</f>
        <v>0</v>
      </c>
      <c r="E40" s="23">
        <f>IF(D24&gt;0,(D23*C24)/D24,0)</f>
        <v>0</v>
      </c>
    </row>
    <row r="41" spans="1:7" x14ac:dyDescent="0.25">
      <c r="A41" s="9" t="s">
        <v>52</v>
      </c>
      <c r="B41" s="20" t="str">
        <f>IF(AND(D21&gt;0,D23&gt;0),IF(AND(D21&gt;=30,D23&gt;=30),"Valid","Invalid (n&lt;30)"),"")</f>
        <v/>
      </c>
      <c r="C41" s="21" t="str">
        <f>IF(AND(D21&gt;=30,D23&gt;=30,D42&gt;0),(E21-E23)/D42,"")</f>
        <v/>
      </c>
      <c r="D41" s="22" t="str">
        <f>IF(AND(D21&gt;=30,D23&gt;=30,ISNUMBER(C41)),2*(1-NORMSDIST(ABS(C41))),"")</f>
        <v/>
      </c>
      <c r="E41" s="20" t="str">
        <f>IF(AND(D21&gt;0,D23&gt;0),IF(NOT(ISNUMBER(D41)),"N/A",IF(D41&lt;=0.01,"Highly significant",IF(D41&lt;=0.05,"Significant",IF(D41&lt;=0.1,"Marginal","Not significant")))),"")</f>
        <v/>
      </c>
    </row>
    <row r="42" spans="1:7" x14ac:dyDescent="0.25">
      <c r="A42" s="2" t="s">
        <v>53</v>
      </c>
      <c r="B42" s="24">
        <f>IF(D24&gt;0,B24/D24,0)</f>
        <v>0</v>
      </c>
      <c r="C42" s="25" t="s">
        <v>54</v>
      </c>
      <c r="D42" s="24">
        <f>IF(AND(D21&gt;0,D23&gt;0,B42&gt;0,B42&lt;1),SQRT(B42*(1-B42)*((1/D21)+(1/D23))),0)</f>
        <v>0</v>
      </c>
    </row>
    <row r="43" spans="1:7" ht="25.5" customHeight="1" x14ac:dyDescent="0.25">
      <c r="A43" s="9" t="s">
        <v>55</v>
      </c>
      <c r="B43" s="20" t="s">
        <v>56</v>
      </c>
      <c r="C43" s="37" t="s">
        <v>141</v>
      </c>
      <c r="D43" s="37"/>
      <c r="E43" s="37"/>
    </row>
    <row r="45" spans="1:7" x14ac:dyDescent="0.25">
      <c r="A45" s="10" t="s">
        <v>57</v>
      </c>
      <c r="B45" s="26" t="str">
        <f>IF(AND(D21&gt;0,D23&gt;0),IF(AND(ISNUMBER(D39),ISNUMBER(D41)),MIN(D39,D41),IF(ISNUMBER(D39),D39,IF(ISNUMBER(D41),D41,"Not testable (n too small)"))),"")</f>
        <v/>
      </c>
    </row>
    <row r="47" spans="1:7" ht="21.75" customHeight="1" x14ac:dyDescent="0.25">
      <c r="A47" s="36" t="s">
        <v>58</v>
      </c>
      <c r="B47" s="36"/>
      <c r="C47" s="36"/>
      <c r="D47" s="36"/>
      <c r="E47" s="36"/>
      <c r="F47" s="36"/>
      <c r="G47" s="36"/>
    </row>
    <row r="48" spans="1:7" x14ac:dyDescent="0.25">
      <c r="A48" s="41" t="s">
        <v>59</v>
      </c>
      <c r="B48" s="41"/>
      <c r="C48" s="41"/>
      <c r="D48" s="41"/>
      <c r="E48" s="41"/>
      <c r="F48" s="41"/>
      <c r="G48" s="41"/>
    </row>
    <row r="49" spans="1:7" ht="15" customHeight="1" x14ac:dyDescent="0.25">
      <c r="A49" s="1" t="s">
        <v>60</v>
      </c>
      <c r="B49" s="1" t="s">
        <v>61</v>
      </c>
      <c r="C49" s="42" t="s">
        <v>62</v>
      </c>
      <c r="D49" s="42"/>
      <c r="E49" s="42"/>
      <c r="F49" s="42"/>
      <c r="G49" s="42"/>
    </row>
    <row r="50" spans="1:7" ht="15" customHeight="1" x14ac:dyDescent="0.25">
      <c r="A50" s="9" t="s">
        <v>63</v>
      </c>
      <c r="B50" s="11">
        <v>0</v>
      </c>
      <c r="C50" s="37" t="s">
        <v>64</v>
      </c>
      <c r="D50" s="37"/>
      <c r="E50" s="37"/>
      <c r="F50" s="37"/>
      <c r="G50" s="37"/>
    </row>
    <row r="51" spans="1:7" ht="15" customHeight="1" x14ac:dyDescent="0.25">
      <c r="A51" s="9" t="s">
        <v>65</v>
      </c>
      <c r="B51" s="11">
        <v>0</v>
      </c>
      <c r="C51" s="37" t="s">
        <v>66</v>
      </c>
      <c r="D51" s="37"/>
      <c r="E51" s="37"/>
      <c r="F51" s="37"/>
      <c r="G51" s="37"/>
    </row>
    <row r="52" spans="1:7" ht="15" customHeight="1" x14ac:dyDescent="0.25">
      <c r="A52" s="9" t="s">
        <v>67</v>
      </c>
      <c r="B52" s="11">
        <v>0</v>
      </c>
      <c r="C52" s="37" t="s">
        <v>68</v>
      </c>
      <c r="D52" s="37"/>
      <c r="E52" s="37"/>
      <c r="F52" s="37"/>
      <c r="G52" s="37"/>
    </row>
    <row r="53" spans="1:7" ht="15" customHeight="1" x14ac:dyDescent="0.25">
      <c r="A53" s="9" t="s">
        <v>69</v>
      </c>
      <c r="B53" s="11">
        <v>0</v>
      </c>
      <c r="C53" s="37" t="s">
        <v>70</v>
      </c>
      <c r="D53" s="37"/>
      <c r="E53" s="37"/>
      <c r="F53" s="37"/>
      <c r="G53" s="37"/>
    </row>
    <row r="55" spans="1:7" x14ac:dyDescent="0.25">
      <c r="A55" s="10" t="s">
        <v>71</v>
      </c>
      <c r="B55" s="13">
        <f>MAX(B50:B53)</f>
        <v>0</v>
      </c>
      <c r="C55" s="38" t="str">
        <f>IF(B55=0,"Standard (no adjustment)",IF(B55=1,"Elevated (+1 severity level)","High (+2 severity levels)"))</f>
        <v>Standard (no adjustment)</v>
      </c>
      <c r="D55" s="38"/>
      <c r="E55" s="38"/>
      <c r="F55" s="38"/>
      <c r="G55" s="38"/>
    </row>
    <row r="57" spans="1:7" ht="21.75" customHeight="1" x14ac:dyDescent="0.25">
      <c r="A57" s="36" t="s">
        <v>72</v>
      </c>
      <c r="B57" s="36"/>
      <c r="C57" s="36"/>
      <c r="D57" s="36"/>
      <c r="E57" s="36"/>
      <c r="F57" s="36"/>
      <c r="G57" s="36"/>
    </row>
    <row r="58" spans="1:7" x14ac:dyDescent="0.25">
      <c r="A58" s="10" t="s">
        <v>73</v>
      </c>
      <c r="B58" s="27" t="str">
        <f>IF(B31="None",0,IF(B31="Low",1,IF(B31="Moderate",2,IF(B31="Critical",3,""))))</f>
        <v/>
      </c>
    </row>
    <row r="59" spans="1:7" x14ac:dyDescent="0.25">
      <c r="A59" s="10" t="s">
        <v>74</v>
      </c>
      <c r="B59" s="28">
        <f>B55</f>
        <v>0</v>
      </c>
    </row>
    <row r="60" spans="1:7" x14ac:dyDescent="0.25">
      <c r="A60" s="10" t="s">
        <v>75</v>
      </c>
      <c r="B60" s="28">
        <f>IF(NOT(ISNUMBER(B45)),0,IF(B45&gt;0.1,-1,IF(B45&lt;=0.01,1,0)))</f>
        <v>0</v>
      </c>
    </row>
    <row r="61" spans="1:7" x14ac:dyDescent="0.25">
      <c r="A61" s="10" t="s">
        <v>76</v>
      </c>
      <c r="B61" s="27" t="str">
        <f>IF(B31="None",0,IF(AND(D21&gt;0,D23&gt;0),MAX(0,MIN(3,B58+B59+B60)),""))</f>
        <v/>
      </c>
    </row>
    <row r="63" spans="1:7" x14ac:dyDescent="0.25">
      <c r="A63" s="39" t="str">
        <f>IF(ISNUMBER(B61),CHOOSE(B61+1,"None","Low","Moderate","Critical"),"Enter group data")</f>
        <v>Enter group data</v>
      </c>
      <c r="B63" s="39"/>
      <c r="C63" s="39"/>
      <c r="D63" s="39"/>
      <c r="E63" s="39"/>
      <c r="F63" s="39"/>
      <c r="G63" s="39"/>
    </row>
    <row r="64" spans="1:7" x14ac:dyDescent="0.25">
      <c r="A64" s="39"/>
      <c r="B64" s="39"/>
      <c r="C64" s="39"/>
      <c r="D64" s="39"/>
      <c r="E64" s="39"/>
      <c r="F64" s="39"/>
      <c r="G64" s="39"/>
    </row>
    <row r="65" spans="1:7" x14ac:dyDescent="0.25">
      <c r="A65" s="39"/>
      <c r="B65" s="39"/>
      <c r="C65" s="39"/>
      <c r="D65" s="39"/>
      <c r="E65" s="39"/>
      <c r="F65" s="39"/>
      <c r="G65" s="39"/>
    </row>
    <row r="67" spans="1:7" x14ac:dyDescent="0.25">
      <c r="A67" s="40" t="str">
        <f>IF(NOT(ISNUMBER(B61)),"",(IF(A63="Critical","Recommended response: Immediate suspension of AI system pending remediation. Governance body review required before reactivation. Leadership notification.",IF(A63="Moderate","Recommended response: Remediation plan due within 30 days. Add human review checkpoint for affected decisions. Notify governance body. System may continue with enhanced monitoring.",IF(A63="Low","Recommended response: Document finding and root cause analysis. Monitor at next scheduled test. No system interruption required. If Low persists across two consecutive test cycles, escalate to Moderate.","Recommended response: Document results. Continue standard monitoring schedule."))))&amp;IF(NOT(ISNUMBER(B45))," | Significance not testable at this sample size: confirm with Fisher's Exact (companion HTML tool, R fisher.test, or Python scipy.stats.fisher_exact) before finalizing this classification.",""))</f>
        <v/>
      </c>
      <c r="B67" s="40"/>
      <c r="C67" s="40"/>
      <c r="D67" s="40"/>
      <c r="E67" s="40"/>
      <c r="F67" s="40"/>
      <c r="G67" s="40"/>
    </row>
    <row r="68" spans="1:7" x14ac:dyDescent="0.25">
      <c r="A68" s="40"/>
      <c r="B68" s="40"/>
      <c r="C68" s="40"/>
      <c r="D68" s="40"/>
      <c r="E68" s="40"/>
      <c r="F68" s="40"/>
      <c r="G68" s="40"/>
    </row>
    <row r="69" spans="1:7" x14ac:dyDescent="0.25">
      <c r="A69" s="40"/>
      <c r="B69" s="40"/>
      <c r="C69" s="40"/>
      <c r="D69" s="40"/>
      <c r="E69" s="40"/>
      <c r="F69" s="40"/>
      <c r="G69" s="40"/>
    </row>
    <row r="71" spans="1:7" ht="21.75" customHeight="1" x14ac:dyDescent="0.25">
      <c r="A71" s="36" t="s">
        <v>77</v>
      </c>
      <c r="B71" s="36"/>
      <c r="C71" s="36"/>
      <c r="D71" s="36"/>
      <c r="E71" s="36"/>
      <c r="F71" s="36"/>
      <c r="G71" s="36"/>
    </row>
    <row r="72" spans="1:7" ht="15" customHeight="1" x14ac:dyDescent="0.25">
      <c r="A72" s="34" t="s">
        <v>78</v>
      </c>
      <c r="B72" s="34"/>
      <c r="C72" s="34"/>
      <c r="D72" s="34"/>
      <c r="E72" s="34"/>
      <c r="F72" s="34"/>
      <c r="G72" s="34"/>
    </row>
    <row r="73" spans="1:7" ht="39" customHeight="1" x14ac:dyDescent="0.25">
      <c r="A73" s="35" t="s">
        <v>79</v>
      </c>
      <c r="B73" s="35"/>
      <c r="C73" s="35"/>
      <c r="D73" s="35"/>
      <c r="E73" s="35"/>
      <c r="F73" s="35"/>
      <c r="G73" s="35"/>
    </row>
    <row r="74" spans="1:7" ht="15" customHeight="1" x14ac:dyDescent="0.25">
      <c r="A74" s="29"/>
      <c r="B74" s="29"/>
      <c r="C74" s="29"/>
      <c r="D74" s="29"/>
      <c r="E74" s="29"/>
      <c r="F74" s="29"/>
      <c r="G74" s="29"/>
    </row>
    <row r="75" spans="1:7" ht="15" customHeight="1" x14ac:dyDescent="0.25">
      <c r="A75" s="34" t="s">
        <v>55</v>
      </c>
      <c r="B75" s="34"/>
      <c r="C75" s="34"/>
      <c r="D75" s="34"/>
      <c r="E75" s="34"/>
      <c r="F75" s="34"/>
      <c r="G75" s="34"/>
    </row>
    <row r="76" spans="1:7" ht="55.5" customHeight="1" x14ac:dyDescent="0.25">
      <c r="A76" s="35" t="s">
        <v>80</v>
      </c>
      <c r="B76" s="35"/>
      <c r="C76" s="35"/>
      <c r="D76" s="35"/>
      <c r="E76" s="35"/>
      <c r="F76" s="35"/>
      <c r="G76" s="35"/>
    </row>
    <row r="77" spans="1:7" x14ac:dyDescent="0.25">
      <c r="A77" s="29"/>
    </row>
    <row r="78" spans="1:7" ht="15" customHeight="1" x14ac:dyDescent="0.25">
      <c r="A78" s="34" t="s">
        <v>81</v>
      </c>
      <c r="B78" s="34"/>
      <c r="C78" s="34"/>
      <c r="D78" s="34"/>
      <c r="E78" s="34"/>
      <c r="F78" s="34"/>
      <c r="G78" s="34"/>
    </row>
    <row r="79" spans="1:7" ht="36" customHeight="1" x14ac:dyDescent="0.25">
      <c r="A79" s="35" t="s">
        <v>82</v>
      </c>
      <c r="B79" s="35"/>
      <c r="C79" s="35"/>
      <c r="D79" s="35"/>
      <c r="E79" s="35"/>
      <c r="F79" s="35"/>
      <c r="G79" s="35"/>
    </row>
  </sheetData>
  <mergeCells count="42">
    <mergeCell ref="A1:G1"/>
    <mergeCell ref="A2:G2"/>
    <mergeCell ref="A3:G3"/>
    <mergeCell ref="A5:G5"/>
    <mergeCell ref="A8:G8"/>
    <mergeCell ref="B9:E9"/>
    <mergeCell ref="B10:E10"/>
    <mergeCell ref="B11:E11"/>
    <mergeCell ref="B12:E12"/>
    <mergeCell ref="B13:E13"/>
    <mergeCell ref="B14:E14"/>
    <mergeCell ref="B15:E15"/>
    <mergeCell ref="A17:G17"/>
    <mergeCell ref="B20:E20"/>
    <mergeCell ref="B22:E22"/>
    <mergeCell ref="A25:G25"/>
    <mergeCell ref="A27:G27"/>
    <mergeCell ref="B28:C28"/>
    <mergeCell ref="B29:C29"/>
    <mergeCell ref="B30:C30"/>
    <mergeCell ref="B31:C31"/>
    <mergeCell ref="A33:G33"/>
    <mergeCell ref="A37:G37"/>
    <mergeCell ref="C43:E43"/>
    <mergeCell ref="A47:G47"/>
    <mergeCell ref="A48:G48"/>
    <mergeCell ref="C49:G49"/>
    <mergeCell ref="C50:G50"/>
    <mergeCell ref="C51:G51"/>
    <mergeCell ref="C52:G52"/>
    <mergeCell ref="C53:G53"/>
    <mergeCell ref="C55:G55"/>
    <mergeCell ref="A57:G57"/>
    <mergeCell ref="A63:G65"/>
    <mergeCell ref="A67:G69"/>
    <mergeCell ref="A78:G78"/>
    <mergeCell ref="A79:G79"/>
    <mergeCell ref="A71:G71"/>
    <mergeCell ref="A72:G72"/>
    <mergeCell ref="A73:G73"/>
    <mergeCell ref="A75:G75"/>
    <mergeCell ref="A76:G76"/>
  </mergeCells>
  <conditionalFormatting sqref="A63">
    <cfRule type="cellIs" dxfId="7" priority="6" operator="equal">
      <formula>"None"</formula>
    </cfRule>
    <cfRule type="cellIs" dxfId="6" priority="7" operator="equal">
      <formula>"Low"</formula>
    </cfRule>
    <cfRule type="cellIs" dxfId="5" priority="8" operator="equal">
      <formula>"Moderate"</formula>
    </cfRule>
    <cfRule type="cellIs" dxfId="4" priority="9" operator="equal">
      <formula>"Critical"</formula>
    </cfRule>
  </conditionalFormatting>
  <conditionalFormatting sqref="B31">
    <cfRule type="cellIs" dxfId="3" priority="2" operator="equal">
      <formula>"None"</formula>
    </cfRule>
    <cfRule type="cellIs" dxfId="2" priority="3" operator="equal">
      <formula>"Low"</formula>
    </cfRule>
    <cfRule type="cellIs" dxfId="1" priority="4" operator="equal">
      <formula>"Moderate"</formula>
    </cfRule>
    <cfRule type="cellIs" dxfId="0" priority="5" operator="equal">
      <formula>"Critical"</formula>
    </cfRule>
  </conditionalFormatting>
  <dataValidations count="2">
    <dataValidation type="list" allowBlank="1" sqref="B15" xr:uid="{00000000-0002-0000-0000-000000000000}">
      <formula1>"Pre-Deployment,Recurring,Incident-Triggered"</formula1>
      <formula2>0</formula2>
    </dataValidation>
    <dataValidation type="list" sqref="B50:B53" xr:uid="{00000000-0002-0000-0000-000001000000}">
      <formula1>"0,1,2"</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
  <sheetViews>
    <sheetView showGridLines="0" zoomScaleNormal="100" workbookViewId="0"/>
  </sheetViews>
  <sheetFormatPr defaultColWidth="8.7109375" defaultRowHeight="15" x14ac:dyDescent="0.25"/>
  <cols>
    <col min="1" max="1" width="30" customWidth="1"/>
    <col min="2" max="5" width="18" customWidth="1"/>
  </cols>
  <sheetData>
    <row r="1" spans="1:5" ht="30" customHeight="1" x14ac:dyDescent="0.25">
      <c r="A1" s="52" t="s">
        <v>83</v>
      </c>
      <c r="B1" s="52"/>
      <c r="C1" s="52"/>
      <c r="D1" s="52"/>
      <c r="E1" s="52"/>
    </row>
    <row r="2" spans="1:5" ht="15" customHeight="1" x14ac:dyDescent="0.25">
      <c r="A2" s="51" t="s">
        <v>84</v>
      </c>
      <c r="B2" s="51"/>
      <c r="C2" s="51"/>
      <c r="D2" s="51"/>
      <c r="E2" s="51"/>
    </row>
    <row r="4" spans="1:5" ht="15.75" customHeight="1" x14ac:dyDescent="0.25">
      <c r="A4" s="30" t="s">
        <v>85</v>
      </c>
    </row>
    <row r="5" spans="1:5" ht="31.5" customHeight="1" x14ac:dyDescent="0.25">
      <c r="A5" s="35" t="s">
        <v>86</v>
      </c>
      <c r="B5" s="35"/>
      <c r="C5" s="35"/>
      <c r="D5" s="35"/>
      <c r="E5" s="35"/>
    </row>
    <row r="7" spans="1:5" ht="15.75" customHeight="1" x14ac:dyDescent="0.25">
      <c r="A7" s="30" t="s">
        <v>87</v>
      </c>
    </row>
    <row r="8" spans="1:5" x14ac:dyDescent="0.25">
      <c r="A8" s="10" t="s">
        <v>7</v>
      </c>
      <c r="B8" s="10" t="s">
        <v>8</v>
      </c>
    </row>
    <row r="9" spans="1:5" x14ac:dyDescent="0.25">
      <c r="A9" s="31" t="s">
        <v>88</v>
      </c>
      <c r="B9" s="32" t="s">
        <v>89</v>
      </c>
    </row>
    <row r="10" spans="1:5" x14ac:dyDescent="0.25">
      <c r="A10" s="31" t="s">
        <v>90</v>
      </c>
      <c r="B10" s="32" t="s">
        <v>91</v>
      </c>
    </row>
    <row r="11" spans="1:5" x14ac:dyDescent="0.25">
      <c r="A11" s="31" t="s">
        <v>92</v>
      </c>
      <c r="B11" s="32" t="s">
        <v>93</v>
      </c>
    </row>
    <row r="12" spans="1:5" x14ac:dyDescent="0.25">
      <c r="A12" s="31" t="s">
        <v>94</v>
      </c>
      <c r="B12" s="32" t="s">
        <v>95</v>
      </c>
    </row>
    <row r="13" spans="1:5" x14ac:dyDescent="0.25">
      <c r="A13" s="31" t="s">
        <v>96</v>
      </c>
      <c r="B13" s="32" t="s">
        <v>97</v>
      </c>
    </row>
    <row r="14" spans="1:5" x14ac:dyDescent="0.25">
      <c r="A14" s="31" t="s">
        <v>98</v>
      </c>
      <c r="B14" s="32" t="s">
        <v>99</v>
      </c>
    </row>
    <row r="16" spans="1:5" ht="15.75" customHeight="1" x14ac:dyDescent="0.25">
      <c r="A16" s="30" t="s">
        <v>100</v>
      </c>
    </row>
    <row r="17" spans="1:2" x14ac:dyDescent="0.25">
      <c r="A17" s="10" t="s">
        <v>101</v>
      </c>
      <c r="B17" s="10" t="s">
        <v>102</v>
      </c>
    </row>
    <row r="18" spans="1:2" x14ac:dyDescent="0.25">
      <c r="A18" s="31" t="s">
        <v>103</v>
      </c>
      <c r="B18" s="31" t="s">
        <v>104</v>
      </c>
    </row>
    <row r="19" spans="1:2" x14ac:dyDescent="0.25">
      <c r="A19" s="31" t="s">
        <v>105</v>
      </c>
      <c r="B19" s="31" t="s">
        <v>106</v>
      </c>
    </row>
    <row r="20" spans="1:2" x14ac:dyDescent="0.25">
      <c r="A20" s="31" t="s">
        <v>107</v>
      </c>
      <c r="B20" s="31" t="s">
        <v>108</v>
      </c>
    </row>
    <row r="21" spans="1:2" x14ac:dyDescent="0.25">
      <c r="A21" s="31" t="s">
        <v>109</v>
      </c>
      <c r="B21" s="31" t="s">
        <v>42</v>
      </c>
    </row>
    <row r="22" spans="1:2" x14ac:dyDescent="0.25">
      <c r="A22" s="31" t="s">
        <v>110</v>
      </c>
      <c r="B22" s="31" t="s">
        <v>111</v>
      </c>
    </row>
    <row r="23" spans="1:2" x14ac:dyDescent="0.25">
      <c r="A23" s="31" t="s">
        <v>112</v>
      </c>
      <c r="B23" s="31" t="s">
        <v>113</v>
      </c>
    </row>
    <row r="24" spans="1:2" x14ac:dyDescent="0.25">
      <c r="A24" s="31" t="s">
        <v>114</v>
      </c>
      <c r="B24" s="31" t="s">
        <v>115</v>
      </c>
    </row>
    <row r="25" spans="1:2" x14ac:dyDescent="0.25">
      <c r="A25" s="31" t="s">
        <v>116</v>
      </c>
      <c r="B25" s="31" t="s">
        <v>113</v>
      </c>
    </row>
    <row r="26" spans="1:2" x14ac:dyDescent="0.25">
      <c r="A26" s="31" t="s">
        <v>117</v>
      </c>
      <c r="B26" s="31" t="s">
        <v>113</v>
      </c>
    </row>
    <row r="27" spans="1:2" x14ac:dyDescent="0.25">
      <c r="A27" s="31" t="s">
        <v>118</v>
      </c>
      <c r="B27" s="31" t="s">
        <v>119</v>
      </c>
    </row>
    <row r="28" spans="1:2" x14ac:dyDescent="0.25">
      <c r="A28" s="31" t="s">
        <v>120</v>
      </c>
      <c r="B28" s="31" t="s">
        <v>42</v>
      </c>
    </row>
    <row r="29" spans="1:2" x14ac:dyDescent="0.25">
      <c r="A29" s="31" t="s">
        <v>121</v>
      </c>
      <c r="B29" s="31" t="s">
        <v>43</v>
      </c>
    </row>
  </sheetData>
  <mergeCells count="3">
    <mergeCell ref="A1:E1"/>
    <mergeCell ref="A2:E2"/>
    <mergeCell ref="A5:E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8"/>
  <sheetViews>
    <sheetView showGridLines="0" zoomScaleNormal="100" workbookViewId="0"/>
  </sheetViews>
  <sheetFormatPr defaultColWidth="8.7109375" defaultRowHeight="15" x14ac:dyDescent="0.25"/>
  <cols>
    <col min="1" max="1" width="100" customWidth="1"/>
  </cols>
  <sheetData>
    <row r="1" spans="1:1" ht="30" customHeight="1" x14ac:dyDescent="0.25">
      <c r="A1" s="33" t="s">
        <v>122</v>
      </c>
    </row>
    <row r="3" spans="1:1" ht="15.75" customHeight="1" x14ac:dyDescent="0.25">
      <c r="A3" s="30" t="s">
        <v>123</v>
      </c>
    </row>
    <row r="4" spans="1:1" ht="36" customHeight="1" x14ac:dyDescent="0.25">
      <c r="A4" s="29" t="s">
        <v>124</v>
      </c>
    </row>
    <row r="6" spans="1:1" ht="15.75" customHeight="1" x14ac:dyDescent="0.25">
      <c r="A6" s="30" t="s">
        <v>125</v>
      </c>
    </row>
    <row r="7" spans="1:1" ht="36" customHeight="1" x14ac:dyDescent="0.25">
      <c r="A7" s="29" t="s">
        <v>126</v>
      </c>
    </row>
    <row r="9" spans="1:1" ht="15.75" customHeight="1" x14ac:dyDescent="0.25">
      <c r="A9" s="30" t="s">
        <v>127</v>
      </c>
    </row>
    <row r="10" spans="1:1" ht="36" customHeight="1" x14ac:dyDescent="0.25">
      <c r="A10" s="29" t="s">
        <v>128</v>
      </c>
    </row>
    <row r="12" spans="1:1" ht="15.75" customHeight="1" x14ac:dyDescent="0.25">
      <c r="A12" s="30" t="s">
        <v>129</v>
      </c>
    </row>
    <row r="13" spans="1:1" ht="36" customHeight="1" x14ac:dyDescent="0.25">
      <c r="A13" s="29" t="s">
        <v>130</v>
      </c>
    </row>
    <row r="15" spans="1:1" ht="15.75" customHeight="1" x14ac:dyDescent="0.25">
      <c r="A15" s="30" t="s">
        <v>131</v>
      </c>
    </row>
    <row r="16" spans="1:1" ht="36" customHeight="1" x14ac:dyDescent="0.25">
      <c r="A16" s="29" t="s">
        <v>132</v>
      </c>
    </row>
    <row r="18" spans="1:1" ht="15.75" customHeight="1" x14ac:dyDescent="0.25">
      <c r="A18" s="30" t="s">
        <v>133</v>
      </c>
    </row>
    <row r="19" spans="1:1" ht="36" customHeight="1" x14ac:dyDescent="0.25">
      <c r="A19" s="29" t="s">
        <v>134</v>
      </c>
    </row>
    <row r="21" spans="1:1" ht="15.75" customHeight="1" x14ac:dyDescent="0.25">
      <c r="A21" s="30" t="s">
        <v>135</v>
      </c>
    </row>
    <row r="22" spans="1:1" ht="36" customHeight="1" x14ac:dyDescent="0.25">
      <c r="A22" s="29" t="s">
        <v>136</v>
      </c>
    </row>
    <row r="24" spans="1:1" ht="15.75" customHeight="1" x14ac:dyDescent="0.25">
      <c r="A24" s="30" t="s">
        <v>137</v>
      </c>
    </row>
    <row r="25" spans="1:1" ht="36" customHeight="1" x14ac:dyDescent="0.25">
      <c r="A25" s="29" t="s">
        <v>138</v>
      </c>
    </row>
    <row r="27" spans="1:1" ht="15.75" customHeight="1" x14ac:dyDescent="0.25">
      <c r="A27" s="30" t="s">
        <v>139</v>
      </c>
    </row>
    <row r="28" spans="1:1" ht="36" customHeight="1" x14ac:dyDescent="0.25">
      <c r="A28" s="29" t="s">
        <v>140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Bias Test</vt:lpstr>
      <vt:lpstr>Worked Example</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Wemer, Jason [HHS]</cp:lastModifiedBy>
  <cp:revision>0</cp:revision>
  <dcterms:created xsi:type="dcterms:W3CDTF">2026-05-15T21:36:55Z</dcterms:created>
  <dcterms:modified xsi:type="dcterms:W3CDTF">2026-06-05T17:09:16Z</dcterms:modified>
  <dc:language>en-US</dc:language>
</cp:coreProperties>
</file>